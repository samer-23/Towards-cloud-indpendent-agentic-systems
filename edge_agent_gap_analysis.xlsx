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pers" sheetId="2" state="visible" r:id="rId4"/>
    <sheet name="Metrics" sheetId="3" state="visible" r:id="rId5"/>
    <sheet name="Comparisons" sheetId="4" state="visible" r:id="rId6"/>
    <sheet name="Limitations" sheetId="5" state="visible" r:id="rId7"/>
    <sheet name="Approaches" sheetId="6" state="visible" r:id="rId8"/>
    <sheet name="Frameworks" sheetId="7" state="visible" r:id="rId9"/>
    <sheet name="Recommenda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<sst xmlns="http://schemas.openxmlformats.org/spreadsheetml/2006/main" count="1523" uniqueCount="802">
  <si>
    <t xml:space="preserve">Edge agent literature review: data workbook</t>
  </si>
  <si>
    <t xml:space="preserve">Purpose</t>
  </si>
  <si>
    <t xml:space="preserve">Numbers, limitations, approaches and recommendations from the gap analysis, in sortable tables. Use the filter arrows on each header to sort or filter.</t>
  </si>
  <si>
    <t xml:space="preserve">Sheets</t>
  </si>
  <si>
    <t xml:space="preserve">Papers (key) | Metrics (every number, with location) | Comparisons (before/after, computed from Metrics) | Limitations (with an editable 'addressed by pipeline?' column) | Approaches | Frameworks | Recommendations</t>
  </si>
  <si>
    <t xml:space="preserve">How to update</t>
  </si>
  <si>
    <t xml:space="preserve">Edit values on Metrics. Comparisons look values up by ID, so they recalculate. To add a comparison, enter two Metrics IDs. Add rows directly under a table; it extends automatically.</t>
  </si>
  <si>
    <t xml:space="preserve">Colour legend</t>
  </si>
  <si>
    <t xml:space="preserve">Blue text = typed inputs. Black = formulas. Green = values pulled from another sheet. Yellow fill = my assumptions for you to review or overwrite.</t>
  </si>
  <si>
    <t xml:space="preserve">Assumptions I made</t>
  </si>
  <si>
    <t xml:space="preserve">Pipeline = the abstract you gave; no further detail was available.</t>
  </si>
  <si>
    <t xml:space="preserve">'Relevance to pipeline' (Papers), 'Addressed by pipeline?' (Limitations) and 'Pipeline stage' (Approaches) are my judgments, shown in yellow.</t>
  </si>
  <si>
    <t xml:space="preserve">Percent values are stored as plain numbers (83.52 means 83.52%); the unit column says which. Ranges use 'Value' and 'Value (high end)'.</t>
  </si>
  <si>
    <t xml:space="preserve">Ahmed et al. numbers are simulated; the 'baseline' vs 'proposed' assignment follows the abstract's wording.</t>
  </si>
  <si>
    <t xml:space="preserve">Five papers (Shukla, Saad-Falcon, Ahmed, Ameur, Pavan) were read for abstract, results, limitations and future-work sections, not every page.</t>
  </si>
  <si>
    <t xml:space="preserve">'Not assessed' in Limitations means I did not judge it against the pipeline.</t>
  </si>
  <si>
    <t xml:space="preserve">Live summary</t>
  </si>
  <si>
    <t xml:space="preserve">Rows in Papers (12 papers + 1 link list)</t>
  </si>
  <si>
    <t xml:space="preserve">Metrics recorded</t>
  </si>
  <si>
    <t xml:space="preserve">Comparisons improved (of total)</t>
  </si>
  <si>
    <t xml:space="preserve">Limitations recorded</t>
  </si>
  <si>
    <t xml:space="preserve">  Addressed: Yes</t>
  </si>
  <si>
    <t xml:space="preserve">  Addressed: Partial</t>
  </si>
  <si>
    <t xml:space="preserve">  Addressed: No</t>
  </si>
  <si>
    <t xml:space="preserve">  Addressed: Not assessed</t>
  </si>
  <si>
    <t xml:space="preserve">Metrics flagged for reliability</t>
  </si>
  <si>
    <t xml:space="preserve">Short name</t>
  </si>
  <si>
    <t xml:space="preserve">Full title</t>
  </si>
  <si>
    <t xml:space="preserve">Year</t>
  </si>
  <si>
    <t xml:space="preserve">Venue / identifier</t>
  </si>
  <si>
    <t xml:space="preserve">Type</t>
  </si>
  <si>
    <t xml:space="preserve">Evidence level</t>
  </si>
  <si>
    <t xml:space="preserve">Tested on edge hardware?</t>
  </si>
  <si>
    <t xml:space="preserve">Relevance to pipeline (assumed)</t>
  </si>
  <si>
    <t xml:space="preserve">Notes</t>
  </si>
  <si>
    <t xml:space="preserve">Tian</t>
  </si>
  <si>
    <t xml:space="preserve">Beyond Scaling: Agents Are Heading to the Edge</t>
  </si>
  <si>
    <t xml:space="preserve">arXiv:2605.18535</t>
  </si>
  <si>
    <t xml:space="preserve">Position paper</t>
  </si>
  <si>
    <t xml:space="preserve">No experiments (argument; cites others' results)</t>
  </si>
  <si>
    <t xml:space="preserve">No</t>
  </si>
  <si>
    <t xml:space="preserve">High</t>
  </si>
  <si>
    <t xml:space="preserve">Edge-native agents, SLM parity claim, deployment gap (Sec. 3.4), research agenda (Sec. 7).</t>
  </si>
  <si>
    <t xml:space="preserve">Shukla</t>
  </si>
  <si>
    <t xml:space="preserve">Adaptive Data Flywheel: Applying MAPE Control Loops to AI Agent Improvement</t>
  </si>
  <si>
    <t xml:space="preserve">arXiv:2510.27051</t>
  </si>
  <si>
    <t xml:space="preserve">Case study</t>
  </si>
  <si>
    <t xml:space="preserve">Measured, production enterprise agent</t>
  </si>
  <si>
    <t xml:space="preserve">No (cloud enterprise)</t>
  </si>
  <si>
    <t xml:space="preserve">Medium</t>
  </si>
  <si>
    <t xml:space="preserve">Feedback-driven fine-tuning loop; 70B router replaced by fine-tuned 8B.</t>
  </si>
  <si>
    <t xml:space="preserve">Saad-Falcon</t>
  </si>
  <si>
    <t xml:space="preserve">Intelligence per Watt: Measuring Intelligence Efficiency of Local AI</t>
  </si>
  <si>
    <t xml:space="preserve">arXiv:2511.07885 (v5, 2026)</t>
  </si>
  <si>
    <t xml:space="preserve">Empirical study</t>
  </si>
  <si>
    <t xml:space="preserve">Measured + simulated routing</t>
  </si>
  <si>
    <t xml:space="preserve">Laptop/workstation accelerators (e.g. Apple M4 Max)</t>
  </si>
  <si>
    <t xml:space="preserve">IPW metric; local vs cloud coverage; hybrid routing savings.</t>
  </si>
  <si>
    <t xml:space="preserve">Ahmed</t>
  </si>
  <si>
    <t xml:space="preserve">Privacy-Preserving Agentic AI at the Edge: Federated and Autonomous Intelligence for Smart Systems</t>
  </si>
  <si>
    <t xml:space="preserve">Spectrum of Engineering Sciences, vol. 4, p. 632</t>
  </si>
  <si>
    <t xml:space="preserve">Conceptual framework</t>
  </si>
  <si>
    <t xml:space="preserve">Simulated only (Sec. 5.4)</t>
  </si>
  <si>
    <t xml:space="preserve">Reported metrics are simulated; baseline identity inferred from abstract wording.</t>
  </si>
  <si>
    <t xml:space="preserve">Ameur</t>
  </si>
  <si>
    <t xml:space="preserve">LLM-Powered Agentic AI for 5G/6G Networks: A Tutorial and Survey on Architectures, Protocols, and Standardization</t>
  </si>
  <si>
    <t xml:space="preserve">arXiv:2607.16066</t>
  </si>
  <si>
    <t xml:space="preserve">Survey / tutorial</t>
  </si>
  <si>
    <t xml:space="preserve">Survey</t>
  </si>
  <si>
    <t xml:space="preserve">n/a</t>
  </si>
  <si>
    <t xml:space="preserve">Open challenges in Sec. 6, incl. compression accuracy loss (Sec. 6.2).</t>
  </si>
  <si>
    <t xml:space="preserve">Pavan</t>
  </si>
  <si>
    <t xml:space="preserve">What Changes After Deployment? A Survey on On-device Learning in TinyML</t>
  </si>
  <si>
    <t xml:space="preserve">ACM Computing Surveys (arXiv:2605.31226)</t>
  </si>
  <si>
    <t xml:space="preserve">Survey (~70 works)</t>
  </si>
  <si>
    <t xml:space="preserve">Distribution-change regimes; benchmark proposals (Sec. 7).</t>
  </si>
  <si>
    <t xml:space="preserve">Al-Atat</t>
  </si>
  <si>
    <t xml:space="preserve">The Case for Hierarchical Deep Learning Inference at the Network Edge</t>
  </si>
  <si>
    <t xml:space="preserve">arXiv:2304.11763</t>
  </si>
  <si>
    <t xml:space="preserve">Measured</t>
  </si>
  <si>
    <t xml:space="preserve">Yes (Raspberry Pi 4B + edge server)</t>
  </si>
  <si>
    <t xml:space="preserve">Confidence-threshold offloading (Hierarchical Inference); classification tasks only.</t>
  </si>
  <si>
    <t xml:space="preserve">Andong</t>
  </si>
  <si>
    <t xml:space="preserve">Federated Multi-Agent Reinforcement Learning for Privacy-Preserving and Energy-Aware Resource Management in 6G Edge Networks (FERMI-6G)</t>
  </si>
  <si>
    <t xml:space="preserve">arXiv:2509.10163</t>
  </si>
  <si>
    <t xml:space="preserve">Method paper</t>
  </si>
  <si>
    <t xml:space="preserve">Simulation (5 agents)</t>
  </si>
  <si>
    <t xml:space="preserve">Low</t>
  </si>
  <si>
    <t xml:space="preserve">Network resource management, not LLM agents.</t>
  </si>
  <si>
    <t xml:space="preserve">Lovén</t>
  </si>
  <si>
    <t xml:space="preserve">Agentic Edge Intelligence: A Research Agenda</t>
  </si>
  <si>
    <t xml:space="preserve">Proc. UCC '25, Nantes, pp. 1-5</t>
  </si>
  <si>
    <t xml:space="preserve">No experiments</t>
  </si>
  <si>
    <t xml:space="preserve">Market-based negotiation of compute between agents.</t>
  </si>
  <si>
    <t xml:space="preserve">Agrawal</t>
  </si>
  <si>
    <t xml:space="preserve">LLM-Based Agents on the Edge: A Survey of Privacy, Scalability, Heterogeneity, and Autonomy</t>
  </si>
  <si>
    <t xml:space="preserve">IJCAI-26 Survey Track</t>
  </si>
  <si>
    <t xml:space="preserve">Taxonomy (Sec. 3); framework comparison (Table 1).</t>
  </si>
  <si>
    <t xml:space="preserve">Kadekodi</t>
  </si>
  <si>
    <t xml:space="preserve">AgentFlux: Decoupled Fine-Tuning &amp; Inference for On-Device Agentic Systems</t>
  </si>
  <si>
    <t xml:space="preserve">arXiv:2510.00229</t>
  </si>
  <si>
    <t xml:space="preserve">Measured (GPT-5 as judge)</t>
  </si>
  <si>
    <t xml:space="preserve">No (consumer GPUs, models &lt;24 GB)</t>
  </si>
  <si>
    <t xml:space="preserve">Separate LoRA adapters for tool selection and argument generation.</t>
  </si>
  <si>
    <t xml:space="preserve">Chen</t>
  </si>
  <si>
    <t xml:space="preserve">Octo-planner: On-device Language Model for Planner-Action Agents</t>
  </si>
  <si>
    <t xml:space="preserve">arXiv:2406.18082</t>
  </si>
  <si>
    <t xml:space="preserve">Measured (GPT-4 as judge); no on-device latency/energy</t>
  </si>
  <si>
    <t xml:space="preserve">Not reported</t>
  </si>
  <si>
    <t xml:space="preserve">Fine-tuned Phi-3 Mini planner; multi-LoRA merging.</t>
  </si>
  <si>
    <t xml:space="preserve">Link list</t>
  </si>
  <si>
    <t xml:space="preserve">Edge Agentic Systems: Retraining Approaches (reference links, compiled 2026-10-03)</t>
  </si>
  <si>
    <t xml:space="preserve">edge_agentic_retraining_links.pdf</t>
  </si>
  <si>
    <t xml:space="preserve">Reference list</t>
  </si>
  <si>
    <t xml:space="preserve">Not evidence</t>
  </si>
  <si>
    <t xml:space="preserve">Document's own note: arXiv items are directional; blog/tutorial links are for orientation only.</t>
  </si>
  <si>
    <t xml:space="preserve">ID</t>
  </si>
  <si>
    <t xml:space="preserve">Paper</t>
  </si>
  <si>
    <t xml:space="preserve">Metric</t>
  </si>
  <si>
    <t xml:space="preserve">Value</t>
  </si>
  <si>
    <t xml:space="preserve">Value (high end, if range)</t>
  </si>
  <si>
    <t xml:space="preserve">Unit</t>
  </si>
  <si>
    <t xml:space="preserve">Context / condition</t>
  </si>
  <si>
    <t xml:space="preserve">Location in paper</t>
  </si>
  <si>
    <t xml:space="preserve">Evidence type</t>
  </si>
  <si>
    <t xml:space="preserve">Reliability flag</t>
  </si>
  <si>
    <t xml:space="preserve">TIAN-01</t>
  </si>
  <si>
    <t xml:space="preserve">Parameter ratio, WideSeek-R1-4B vs DeepSeek-R1 (671B)</t>
  </si>
  <si>
    <t xml:space="preserve">x</t>
  </si>
  <si>
    <t xml:space="preserve">Reported as comparable on structured tool-use / information-seeking benchmarks; result cited from another paper</t>
  </si>
  <si>
    <t xml:space="preserve">Sec. 3.3</t>
  </si>
  <si>
    <t xml:space="preserve">Position paper (cited)</t>
  </si>
  <si>
    <t xml:space="preserve">Secondhand claim</t>
  </si>
  <si>
    <t xml:space="preserve">TIAN-02</t>
  </si>
  <si>
    <t xml:space="preserve">Local inference speed on consumer silicon</t>
  </si>
  <si>
    <t xml:space="preserve">tokens/s</t>
  </si>
  <si>
    <t xml:space="preserve">Apple M4 Pro, Snapdragon 8 Elite</t>
  </si>
  <si>
    <t xml:space="preserve">TIAN-03</t>
  </si>
  <si>
    <t xml:space="preserve">Network overhead per step in cloud agents</t>
  </si>
  <si>
    <t xml:space="preserve">ms</t>
  </si>
  <si>
    <t xml:space="preserve">Compounds over a long action sequence</t>
  </si>
  <si>
    <t xml:space="preserve">Sec. 3.2, item 3</t>
  </si>
  <si>
    <t xml:space="preserve">TIAN-04</t>
  </si>
  <si>
    <t xml:space="preserve">Sequential actions per autonomous task</t>
  </si>
  <si>
    <t xml:space="preserve">actions</t>
  </si>
  <si>
    <t xml:space="preserve">TIAN-05</t>
  </si>
  <si>
    <t xml:space="preserve">Local voice-to-action latency (upper bound, 'below three seconds')</t>
  </si>
  <si>
    <t xml:space="preserve">s</t>
  </si>
  <si>
    <t xml:space="preserve">Upper bound, not a measurement</t>
  </si>
  <si>
    <t xml:space="preserve">SHUK-01</t>
  </si>
  <si>
    <t xml:space="preserve">Negative feedback samples collected</t>
  </si>
  <si>
    <t xml:space="preserve">count</t>
  </si>
  <si>
    <t xml:space="preserve">3-month post-deployment window</t>
  </si>
  <si>
    <t xml:space="preserve">Abstract</t>
  </si>
  <si>
    <t xml:space="preserve">Measured (production)</t>
  </si>
  <si>
    <t xml:space="preserve">SHUK-02</t>
  </si>
  <si>
    <t xml:space="preserve">User base</t>
  </si>
  <si>
    <t xml:space="preserve">users</t>
  </si>
  <si>
    <t xml:space="preserve">NVInfo AI employees</t>
  </si>
  <si>
    <t xml:space="preserve">SHUK-03</t>
  </si>
  <si>
    <t xml:space="preserve">Feedback participation rate</t>
  </si>
  <si>
    <t xml:space="preserve">%</t>
  </si>
  <si>
    <t xml:space="preserve">Derived: samples / users</t>
  </si>
  <si>
    <t xml:space="preserve">Discussion, subsection B</t>
  </si>
  <si>
    <t xml:space="preserve">Derived</t>
  </si>
  <si>
    <t xml:space="preserve">Formula</t>
  </si>
  <si>
    <t xml:space="preserve">SHUK-04</t>
  </si>
  <si>
    <t xml:space="preserve">Routing error share of failures</t>
  </si>
  <si>
    <t xml:space="preserve">SHUK-05</t>
  </si>
  <si>
    <t xml:space="preserve">Query rephrasal error share of failures</t>
  </si>
  <si>
    <t xml:space="preserve">SHUK-06</t>
  </si>
  <si>
    <t xml:space="preserve">Router model size before</t>
  </si>
  <si>
    <t xml:space="preserve">B params</t>
  </si>
  <si>
    <t xml:space="preserve">Llama 3.1 70B</t>
  </si>
  <si>
    <t xml:space="preserve">SHUK-07</t>
  </si>
  <si>
    <t xml:space="preserve">Router model size after (fine-tuned)</t>
  </si>
  <si>
    <t xml:space="preserve">Fine-tuned 8B variant</t>
  </si>
  <si>
    <t xml:space="preserve">SHUK-08</t>
  </si>
  <si>
    <t xml:space="preserve">Router accuracy after fine-tuning</t>
  </si>
  <si>
    <t xml:space="preserve">SHUK-09</t>
  </si>
  <si>
    <t xml:space="preserve">Router latency reduction</t>
  </si>
  <si>
    <t xml:space="preserve">SHUK-10</t>
  </si>
  <si>
    <t xml:space="preserve">Query rephrasal accuracy gain</t>
  </si>
  <si>
    <t xml:space="preserve">% (as reported)</t>
  </si>
  <si>
    <t xml:space="preserve">Synthetic dataset of 5,000 examples, 80/10/10 split</t>
  </si>
  <si>
    <t xml:space="preserve">Abstract; Introduction</t>
  </si>
  <si>
    <t xml:space="preserve">Unclear whether percentage points or relative</t>
  </si>
  <si>
    <t xml:space="preserve">SHUK-11</t>
  </si>
  <si>
    <t xml:space="preserve">Query rephrasal latency reduction</t>
  </si>
  <si>
    <t xml:space="preserve">SHUK-12</t>
  </si>
  <si>
    <t xml:space="preserve">Synthetic training examples for rephrasal</t>
  </si>
  <si>
    <t xml:space="preserve">Introduction</t>
  </si>
  <si>
    <t xml:space="preserve">IPW-01</t>
  </si>
  <si>
    <t xml:space="preserve">Single-turn queries answerable locally (best-of-local ensemble)</t>
  </si>
  <si>
    <t xml:space="preserve">20+ local models, 1M queries</t>
  </si>
  <si>
    <t xml:space="preserve">Single-turn chat/reasoning only</t>
  </si>
  <si>
    <t xml:space="preserve">IPW-02</t>
  </si>
  <si>
    <t xml:space="preserve">Locally-serviceable query coverage, 2023</t>
  </si>
  <si>
    <t xml:space="preserve">Win/tie rate vs frontier models</t>
  </si>
  <si>
    <t xml:space="preserve">IPW-03</t>
  </si>
  <si>
    <t xml:space="preserve">Locally-serviceable query coverage, 2025</t>
  </si>
  <si>
    <t xml:space="preserve">IPW-04</t>
  </si>
  <si>
    <t xml:space="preserve">IPW improvement 2023-2025</t>
  </si>
  <si>
    <t xml:space="preserve">Abstract; Sec. 5</t>
  </si>
  <si>
    <t xml:space="preserve">IPW-05</t>
  </si>
  <si>
    <t xml:space="preserve">IPW gain from models</t>
  </si>
  <si>
    <t xml:space="preserve">Sec. 5 (Conclusion)</t>
  </si>
  <si>
    <t xml:space="preserve">IPW-06</t>
  </si>
  <si>
    <t xml:space="preserve">IPW gain from hardware</t>
  </si>
  <si>
    <t xml:space="preserve">IPW-07</t>
  </si>
  <si>
    <t xml:space="preserve">Cloud accelerator per-query efficiency edge over local</t>
  </si>
  <si>
    <t xml:space="preserve">Identical models; batch size 1</t>
  </si>
  <si>
    <t xml:space="preserve">Sec. 5 (Conclusion); App. E.8</t>
  </si>
  <si>
    <t xml:space="preserve">IPW-08</t>
  </si>
  <si>
    <t xml:space="preserve">Hybrid local-cloud routing reduction (energy, compute, cost)</t>
  </si>
  <si>
    <t xml:space="preserve">Versus batched cloud baseline</t>
  </si>
  <si>
    <t xml:space="preserve">Abstract; Sec. 4.3</t>
  </si>
  <si>
    <t xml:space="preserve">Simulated routing</t>
  </si>
  <si>
    <t xml:space="preserve">IPW-09</t>
  </si>
  <si>
    <t xml:space="preserve">Oracle routing energy reduction</t>
  </si>
  <si>
    <t xml:space="preserve">24 h, 80.2M queries</t>
  </si>
  <si>
    <t xml:space="preserve">Sec. 4.3</t>
  </si>
  <si>
    <t xml:space="preserve">IPW-10</t>
  </si>
  <si>
    <t xml:space="preserve">Oracle routing compute reduction</t>
  </si>
  <si>
    <t xml:space="preserve">IPW-11</t>
  </si>
  <si>
    <t xml:space="preserve">Oracle routing cost reduction</t>
  </si>
  <si>
    <t xml:space="preserve">IPW-12</t>
  </si>
  <si>
    <t xml:space="preserve">80%-accurate router energy reduction</t>
  </si>
  <si>
    <t xml:space="preserve">Misrouted queries fall back to the cloud model</t>
  </si>
  <si>
    <t xml:space="preserve">IPW-13</t>
  </si>
  <si>
    <t xml:space="preserve">80%-accurate router compute reduction</t>
  </si>
  <si>
    <t xml:space="preserve">IPW-14</t>
  </si>
  <si>
    <t xml:space="preserve">80%-accurate router cost reduction</t>
  </si>
  <si>
    <t xml:space="preserve">IPW-15</t>
  </si>
  <si>
    <t xml:space="preserve">Power telemetry error</t>
  </si>
  <si>
    <t xml:space="preserve">Software telemetry (NVML, powermetrics, ROCm SMI)</t>
  </si>
  <si>
    <t xml:space="preserve">App. C, item 1</t>
  </si>
  <si>
    <t xml:space="preserve">Stated limitation</t>
  </si>
  <si>
    <t xml:space="preserve">AHM-01</t>
  </si>
  <si>
    <t xml:space="preserve">Raw data exposure (proposed framework)</t>
  </si>
  <si>
    <t xml:space="preserve">Simulated</t>
  </si>
  <si>
    <t xml:space="preserve">Simulated, not measured on hardware; baseline identity inferred from abstract wording</t>
  </si>
  <si>
    <t xml:space="preserve">AHM-02</t>
  </si>
  <si>
    <t xml:space="preserve">Communication cost, baseline</t>
  </si>
  <si>
    <t xml:space="preserve">MB/round</t>
  </si>
  <si>
    <t xml:space="preserve">AHM-03</t>
  </si>
  <si>
    <t xml:space="preserve">Communication cost, proposed</t>
  </si>
  <si>
    <t xml:space="preserve">AHM-04</t>
  </si>
  <si>
    <t xml:space="preserve">Latency, baseline</t>
  </si>
  <si>
    <t xml:space="preserve">AHM-05</t>
  </si>
  <si>
    <t xml:space="preserve">Latency, proposed</t>
  </si>
  <si>
    <t xml:space="preserve">AHM-06</t>
  </si>
  <si>
    <t xml:space="preserve">Model accuracy, baseline</t>
  </si>
  <si>
    <t xml:space="preserve">AHM-07</t>
  </si>
  <si>
    <t xml:space="preserve">Model accuracy, proposed</t>
  </si>
  <si>
    <t xml:space="preserve">AME-01</t>
  </si>
  <si>
    <t xml:space="preserve">Memory reduction from 4-bit quantization, structured pruning, distillation</t>
  </si>
  <si>
    <t xml:space="preserve">Accuracy loss on domain reasoning uncharacterized</t>
  </si>
  <si>
    <t xml:space="preserve">Sec. 6.2</t>
  </si>
  <si>
    <t xml:space="preserve">Survey-cited</t>
  </si>
  <si>
    <t xml:space="preserve">AME-02</t>
  </si>
  <si>
    <t xml:space="preserve">GPU memory for 7B-70B LLM inference</t>
  </si>
  <si>
    <t xml:space="preserve">GB</t>
  </si>
  <si>
    <t xml:space="preserve">AME-03</t>
  </si>
  <si>
    <t xml:space="preserve">O-RAN Near-RT RIC control loop time scale</t>
  </si>
  <si>
    <t xml:space="preserve">Sec. 6.3</t>
  </si>
  <si>
    <t xml:space="preserve">AME-04</t>
  </si>
  <si>
    <t xml:space="preserve">LLM response time, 30B-70B model, batch size 1, single A100/H100 (lower bound; paper says 'several seconds' upper)</t>
  </si>
  <si>
    <t xml:space="preserve">Upper end not numeric</t>
  </si>
  <si>
    <t xml:space="preserve">AME-05</t>
  </si>
  <si>
    <t xml:space="preserve">Proposed size of small telecom language models</t>
  </si>
  <si>
    <t xml:space="preserve">Future direction</t>
  </si>
  <si>
    <t xml:space="preserve">AME-06</t>
  </si>
  <si>
    <t xml:space="preserve">Models compromised via inter-agent communication</t>
  </si>
  <si>
    <t xml:space="preserve">Cited from [177]</t>
  </si>
  <si>
    <t xml:space="preserve">Sec. 6.4</t>
  </si>
  <si>
    <t xml:space="preserve">AME-07</t>
  </si>
  <si>
    <t xml:space="preserve">Models compromised via RAG backdoor</t>
  </si>
  <si>
    <t xml:space="preserve">AME-08</t>
  </si>
  <si>
    <t xml:space="preserve">Models compromised via direct injection</t>
  </si>
  <si>
    <t xml:space="preserve">PAV-01</t>
  </si>
  <si>
    <t xml:space="preserve">On-device learning works surveyed</t>
  </si>
  <si>
    <t xml:space="preserve">works</t>
  </si>
  <si>
    <t xml:space="preserve">Approximate</t>
  </si>
  <si>
    <t xml:space="preserve">Survey count</t>
  </si>
  <si>
    <t xml:space="preserve">PAV-02</t>
  </si>
  <si>
    <t xml:space="preserve">Distribution-change regimes</t>
  </si>
  <si>
    <t xml:space="preserve">regimes</t>
  </si>
  <si>
    <t xml:space="preserve">Single-change, concept drift, continual learning</t>
  </si>
  <si>
    <t xml:space="preserve">Abstract; Sec. 3</t>
  </si>
  <si>
    <t xml:space="preserve">PAV-03</t>
  </si>
  <si>
    <t xml:space="preserve">Proposed benchmark types</t>
  </si>
  <si>
    <t xml:space="preserve">benchmarks</t>
  </si>
  <si>
    <t xml:space="preserve">Solution-oriented, hardware-oriented, co-design</t>
  </si>
  <si>
    <t xml:space="preserve">Sec. 7</t>
  </si>
  <si>
    <t xml:space="preserve">HI-01</t>
  </si>
  <si>
    <t xml:space="preserve">Small model accuracy, CIFAR-10 (no offload)</t>
  </si>
  <si>
    <t xml:space="preserve">Quantized TFLite</t>
  </si>
  <si>
    <t xml:space="preserve">Sec. 4; Table 1</t>
  </si>
  <si>
    <t xml:space="preserve">HI-02</t>
  </si>
  <si>
    <t xml:space="preserve">Small model size, CIFAR-10</t>
  </si>
  <si>
    <t xml:space="preserve">MB</t>
  </si>
  <si>
    <t xml:space="preserve">Sec. 4</t>
  </si>
  <si>
    <t xml:space="preserve">HI-03</t>
  </si>
  <si>
    <t xml:space="preserve">Large model accuracy, CIFAR-10 (full offload)</t>
  </si>
  <si>
    <t xml:space="preserve">EfficientNet on edge server</t>
  </si>
  <si>
    <t xml:space="preserve">HI-04</t>
  </si>
  <si>
    <t xml:space="preserve">Optimal confidence threshold</t>
  </si>
  <si>
    <t xml:space="preserve">probability</t>
  </si>
  <si>
    <t xml:space="preserve">Brute-force search, CIFAR-10</t>
  </si>
  <si>
    <t xml:space="preserve">HI-05</t>
  </si>
  <si>
    <t xml:space="preserve">HI share of images offloaded</t>
  </si>
  <si>
    <t xml:space="preserve">3,550 of 10,000</t>
  </si>
  <si>
    <t xml:space="preserve">HI-06</t>
  </si>
  <si>
    <t xml:space="preserve">HI accuracy, CIFAR-10</t>
  </si>
  <si>
    <t xml:space="preserve">HI-07</t>
  </si>
  <si>
    <t xml:space="preserve">Full offload share of images offloaded</t>
  </si>
  <si>
    <t xml:space="preserve">Table 1</t>
  </si>
  <si>
    <t xml:space="preserve">HI-08</t>
  </si>
  <si>
    <t xml:space="preserve">Misclassified images, no offload</t>
  </si>
  <si>
    <t xml:space="preserve">images</t>
  </si>
  <si>
    <t xml:space="preserve">Of 10,000</t>
  </si>
  <si>
    <t xml:space="preserve">HI-09</t>
  </si>
  <si>
    <t xml:space="preserve">Misclassified images, full offload</t>
  </si>
  <si>
    <t xml:space="preserve">HI-10</t>
  </si>
  <si>
    <t xml:space="preserve">Misclassified images, HI total</t>
  </si>
  <si>
    <t xml:space="preserve">1,577 on device + 71 on server</t>
  </si>
  <si>
    <t xml:space="preserve">HI-11</t>
  </si>
  <si>
    <t xml:space="preserve">HI cost reduction vs full offload, range over beta</t>
  </si>
  <si>
    <t xml:space="preserve">HI-12</t>
  </si>
  <si>
    <t xml:space="preserve">Small model accuracy, dog-vs-not-dog</t>
  </si>
  <si>
    <t xml:space="preserve">Sec. 5</t>
  </si>
  <si>
    <t xml:space="preserve">HI-13</t>
  </si>
  <si>
    <t xml:space="preserve">Small model size, dog-vs-not-dog</t>
  </si>
  <si>
    <t xml:space="preserve">HI-14</t>
  </si>
  <si>
    <t xml:space="preserve">HI accuracy, dog-breed task</t>
  </si>
  <si>
    <t xml:space="preserve">Assumes a 100%-accurate large model</t>
  </si>
  <si>
    <t xml:space="preserve">Sec. 5; Table 3</t>
  </si>
  <si>
    <t xml:space="preserve">Large model assumed perfect</t>
  </si>
  <si>
    <t xml:space="preserve">HI-15</t>
  </si>
  <si>
    <t xml:space="preserve">HI offload reduction vs full offload, dog-breed task</t>
  </si>
  <si>
    <t xml:space="preserve">HI-16</t>
  </si>
  <si>
    <t xml:space="preserve">HI cost reduction, dog-breed task, range over beta</t>
  </si>
  <si>
    <t xml:space="preserve">Text and Table 3 give different cost formulas (10000 vs 1000 beta); text range used</t>
  </si>
  <si>
    <t xml:space="preserve">HI-17</t>
  </si>
  <si>
    <t xml:space="preserve">False positives (non-dog sent to server)</t>
  </si>
  <si>
    <t xml:space="preserve">HI-18</t>
  </si>
  <si>
    <t xml:space="preserve">False negatives (dogs missed)</t>
  </si>
  <si>
    <t xml:space="preserve">Of 1,000 dogs</t>
  </si>
  <si>
    <t xml:space="preserve">HI-19</t>
  </si>
  <si>
    <t xml:space="preserve">On-device inference time (Raspberry Pi 4B)</t>
  </si>
  <si>
    <t xml:space="preserve">Sec. 6</t>
  </si>
  <si>
    <t xml:space="preserve">HI-20</t>
  </si>
  <si>
    <t xml:space="preserve">Offload plus server inference time</t>
  </si>
  <si>
    <t xml:space="preserve">Edge server with GPU, WLAN</t>
  </si>
  <si>
    <t xml:space="preserve">HI-21</t>
  </si>
  <si>
    <t xml:space="preserve">HI latency reduction vs full offload at beta = 0.5</t>
  </si>
  <si>
    <t xml:space="preserve">Accuracy 83.52%</t>
  </si>
  <si>
    <t xml:space="preserve">HI-22</t>
  </si>
  <si>
    <t xml:space="preserve">HI offloaded-image reduction vs full offload at beta = 0.5</t>
  </si>
  <si>
    <t xml:space="preserve">HI-23</t>
  </si>
  <si>
    <t xml:space="preserve">HI latency reduction, averaged over beta 0 to 1</t>
  </si>
  <si>
    <t xml:space="preserve">Accuracy above 80%</t>
  </si>
  <si>
    <t xml:space="preserve">Sec. 7 (Conclusion)</t>
  </si>
  <si>
    <t xml:space="preserve">FER-01</t>
  </si>
  <si>
    <t xml:space="preserve">Simulated agents</t>
  </si>
  <si>
    <t xml:space="preserve">agents</t>
  </si>
  <si>
    <t xml:space="preserve">Sec. V-B; Table I</t>
  </si>
  <si>
    <t xml:space="preserve">Small-scale simulation</t>
  </si>
  <si>
    <t xml:space="preserve">FER-02</t>
  </si>
  <si>
    <t xml:space="preserve">Training episodes</t>
  </si>
  <si>
    <t xml:space="preserve">episodes</t>
  </si>
  <si>
    <t xml:space="preserve">Table I</t>
  </si>
  <si>
    <t xml:space="preserve">FER-03</t>
  </si>
  <si>
    <t xml:space="preserve">Reliability, FERMI-6G</t>
  </si>
  <si>
    <t xml:space="preserve">Table II</t>
  </si>
  <si>
    <t xml:space="preserve">FER-04</t>
  </si>
  <si>
    <t xml:space="preserve">Energy per task, centralized RL</t>
  </si>
  <si>
    <t xml:space="preserve">J/task</t>
  </si>
  <si>
    <t xml:space="preserve">Centralized baseline used a simplified environment</t>
  </si>
  <si>
    <t xml:space="preserve">Baselines simplified (Sec. VI)</t>
  </si>
  <si>
    <t xml:space="preserve">FER-05</t>
  </si>
  <si>
    <t xml:space="preserve">Energy per task, FERMI-6G</t>
  </si>
  <si>
    <t xml:space="preserve">FER-06</t>
  </si>
  <si>
    <t xml:space="preserve">Fairness index, FERMI-6G (Table II)</t>
  </si>
  <si>
    <t xml:space="preserve">index</t>
  </si>
  <si>
    <t xml:space="preserve">Conflicts with FER-07</t>
  </si>
  <si>
    <t xml:space="preserve">FER-07</t>
  </si>
  <si>
    <t xml:space="preserve">Fairness index, FERMI-6G (Discussion text)</t>
  </si>
  <si>
    <t xml:space="preserve">Sec. VI</t>
  </si>
  <si>
    <t xml:space="preserve">Conflicts with FER-06</t>
  </si>
  <si>
    <t xml:space="preserve">FER-08</t>
  </si>
  <si>
    <t xml:space="preserve">Fairness index, Fed-MARL without cross-layer</t>
  </si>
  <si>
    <t xml:space="preserve">FER-09</t>
  </si>
  <si>
    <t xml:space="preserve">Reliability with 50 agents, centralized RL</t>
  </si>
  <si>
    <t xml:space="preserve">FER-10</t>
  </si>
  <si>
    <t xml:space="preserve">Reliability with 50 agents, FERMI-6G</t>
  </si>
  <si>
    <t xml:space="preserve">AFX-01</t>
  </si>
  <si>
    <t xml:space="preserve">ToolFit, Qwen-2.5-7B base</t>
  </si>
  <si>
    <t xml:space="preserve">Filesystem toolset, MCP-Bench queries</t>
  </si>
  <si>
    <t xml:space="preserve">Sec. 5.3; Fig. 2</t>
  </si>
  <si>
    <t xml:space="preserve">Measured (GPT-5 judge)</t>
  </si>
  <si>
    <t xml:space="preserve">Fig. 2 label shows 10.6%, text says 10.4%</t>
  </si>
  <si>
    <t xml:space="preserve">AFX-02</t>
  </si>
  <si>
    <t xml:space="preserve">ToolFit, base + hierarchical orchestration</t>
  </si>
  <si>
    <t xml:space="preserve">AFX-03</t>
  </si>
  <si>
    <t xml:space="preserve">ToolFit, + traditional fine-tuning</t>
  </si>
  <si>
    <t xml:space="preserve">AFX-04</t>
  </si>
  <si>
    <t xml:space="preserve">ToolFit, + decoupled fine-tuning (AgentFlux-7B)</t>
  </si>
  <si>
    <t xml:space="preserve">AFX-05</t>
  </si>
  <si>
    <t xml:space="preserve">ToolFit, Qwen selects tool + Qwen writes arguments</t>
  </si>
  <si>
    <t xml:space="preserve">Sec. 3.4; Table 2</t>
  </si>
  <si>
    <t xml:space="preserve">AFX-06</t>
  </si>
  <si>
    <t xml:space="preserve">ToolFit, GPT-5-mini selects tool + Qwen writes arguments</t>
  </si>
  <si>
    <t xml:space="preserve">AFX-07</t>
  </si>
  <si>
    <t xml:space="preserve">ToolFit, Qwen selects tool + GPT-5-mini writes arguments</t>
  </si>
  <si>
    <t xml:space="preserve">AFX-08</t>
  </si>
  <si>
    <t xml:space="preserve">ToolFit, GPT-5-mini for both</t>
  </si>
  <si>
    <t xml:space="preserve">AFX-09</t>
  </si>
  <si>
    <t xml:space="preserve">ToolFit, Qwen-2.5-7B with 30 tools (vs 16.0 with 12)</t>
  </si>
  <si>
    <t xml:space="preserve">Tool descriptions take 9.8K tokens</t>
  </si>
  <si>
    <t xml:space="preserve">Sec. 3.5</t>
  </si>
  <si>
    <t xml:space="preserve">AFX-10</t>
  </si>
  <si>
    <t xml:space="preserve">Tool-description tokens with 30 tools</t>
  </si>
  <si>
    <t xml:space="preserve">tokens</t>
  </si>
  <si>
    <t xml:space="preserve">Versus 3K-4K tokens of task</t>
  </si>
  <si>
    <t xml:space="preserve">AFX-11</t>
  </si>
  <si>
    <t xml:space="preserve">Training examples generated per tool</t>
  </si>
  <si>
    <t xml:space="preserve">examples</t>
  </si>
  <si>
    <t xml:space="preserve">Generated with GPT-5-mini</t>
  </si>
  <si>
    <t xml:space="preserve">Sec. 4.1.1</t>
  </si>
  <si>
    <t xml:space="preserve">Training data comes from a cloud model</t>
  </si>
  <si>
    <t xml:space="preserve">AFX-12</t>
  </si>
  <si>
    <t xml:space="preserve">End-to-end fine-tuning pipeline time</t>
  </si>
  <si>
    <t xml:space="preserve">hours (upper bound)</t>
  </si>
  <si>
    <t xml:space="preserve">'Less than 10 hours'</t>
  </si>
  <si>
    <t xml:space="preserve">AFX-13</t>
  </si>
  <si>
    <t xml:space="preserve">Model weight limit defining 'local'</t>
  </si>
  <si>
    <t xml:space="preserve">Consumer-grade GPU memory</t>
  </si>
  <si>
    <t xml:space="preserve">Sec. 3.2</t>
  </si>
  <si>
    <t xml:space="preserve">Definition</t>
  </si>
  <si>
    <t xml:space="preserve">OCT-01</t>
  </si>
  <si>
    <t xml:space="preserve">Accuracy, full fine-tuning (Phi-3 Mini)</t>
  </si>
  <si>
    <t xml:space="preserve">In-domain</t>
  </si>
  <si>
    <t xml:space="preserve">Sec. 5.1; Table 1</t>
  </si>
  <si>
    <t xml:space="preserve">Measured (GPT-4 judge)</t>
  </si>
  <si>
    <t xml:space="preserve">Abstract says 97%</t>
  </si>
  <si>
    <t xml:space="preserve">OCT-02</t>
  </si>
  <si>
    <t xml:space="preserve">Accuracy, LoRA rank 64</t>
  </si>
  <si>
    <t xml:space="preserve">alpha 256</t>
  </si>
  <si>
    <t xml:space="preserve">OCT-03</t>
  </si>
  <si>
    <t xml:space="preserve">Accuracy, LoRA rank 16</t>
  </si>
  <si>
    <t xml:space="preserve">alpha 32</t>
  </si>
  <si>
    <t xml:space="preserve">OCT-04</t>
  </si>
  <si>
    <t xml:space="preserve">Accuracy, multi-LoRA: 1 domain</t>
  </si>
  <si>
    <t xml:space="preserve">Android</t>
  </si>
  <si>
    <t xml:space="preserve">Sec. 5.2; Table 2</t>
  </si>
  <si>
    <t xml:space="preserve">OCT-05</t>
  </si>
  <si>
    <t xml:space="preserve">Accuracy, multi-LoRA: 2 domains merged</t>
  </si>
  <si>
    <t xml:space="preserve">+ E-commerce</t>
  </si>
  <si>
    <t xml:space="preserve">OCT-06</t>
  </si>
  <si>
    <t xml:space="preserve">Accuracy, multi-LoRA: 3 domains merged</t>
  </si>
  <si>
    <t xml:space="preserve">+ video streaming</t>
  </si>
  <si>
    <t xml:space="preserve">OCT-07</t>
  </si>
  <si>
    <t xml:space="preserve">Accuracy, multi-LoRA: 4 domains merged</t>
  </si>
  <si>
    <t xml:space="preserve">+ travel</t>
  </si>
  <si>
    <t xml:space="preserve">OCT-08</t>
  </si>
  <si>
    <t xml:space="preserve">Accuracy, Gemma 2b (full fine-tuning)</t>
  </si>
  <si>
    <t xml:space="preserve">Sec. 5.3; Table 3</t>
  </si>
  <si>
    <t xml:space="preserve">OCT-09</t>
  </si>
  <si>
    <t xml:space="preserve">Accuracy, Gemma 7b (full fine-tuning)</t>
  </si>
  <si>
    <t xml:space="preserve">OCT-10</t>
  </si>
  <si>
    <t xml:space="preserve">Accuracy, 1000 training examples</t>
  </si>
  <si>
    <t xml:space="preserve">Sec. 5.4; Table 4</t>
  </si>
  <si>
    <t xml:space="preserve">OCT-11</t>
  </si>
  <si>
    <t xml:space="preserve">Accuracy, 500 training examples</t>
  </si>
  <si>
    <t xml:space="preserve">OCT-12</t>
  </si>
  <si>
    <t xml:space="preserve">Accuracy, 250 training examples</t>
  </si>
  <si>
    <t xml:space="preserve">OCT-13</t>
  </si>
  <si>
    <t xml:space="preserve">Accuracy, 100 training examples</t>
  </si>
  <si>
    <t xml:space="preserve">Comparison</t>
  </si>
  <si>
    <t xml:space="preserve">Before ID</t>
  </si>
  <si>
    <t xml:space="preserve">Before value</t>
  </si>
  <si>
    <t xml:space="preserve">After ID</t>
  </si>
  <si>
    <t xml:space="preserve">After value</t>
  </si>
  <si>
    <t xml:space="preserve">Change (in unit)</t>
  </si>
  <si>
    <t xml:space="preserve">Relative change</t>
  </si>
  <si>
    <t xml:space="preserve">Better direction</t>
  </si>
  <si>
    <t xml:space="preserve">Improved?</t>
  </si>
  <si>
    <t xml:space="preserve">CMP-01</t>
  </si>
  <si>
    <t xml:space="preserve">HI accuracy vs full offload (CIFAR-10)</t>
  </si>
  <si>
    <t xml:space="preserve">Higher</t>
  </si>
  <si>
    <t xml:space="preserve">Accuracy given up by offloading only low-confidence samples</t>
  </si>
  <si>
    <t xml:space="preserve">CMP-02</t>
  </si>
  <si>
    <t xml:space="preserve">HI accuracy vs no offload (CIFAR-10)</t>
  </si>
  <si>
    <t xml:space="preserve">CMP-03</t>
  </si>
  <si>
    <t xml:space="preserve">HI offloaded share vs full offload</t>
  </si>
  <si>
    <t xml:space="preserve">Lower</t>
  </si>
  <si>
    <t xml:space="preserve">CMP-04</t>
  </si>
  <si>
    <t xml:space="preserve">Time: offload + server vs on-device inference</t>
  </si>
  <si>
    <t xml:space="preserve">On-device is the 'After'</t>
  </si>
  <si>
    <t xml:space="preserve">CMP-05</t>
  </si>
  <si>
    <t xml:space="preserve">Router size: 70B to fine-tuned 8B</t>
  </si>
  <si>
    <t xml:space="preserve">CMP-06</t>
  </si>
  <si>
    <t xml:space="preserve">Local-serviceable coverage 2023 to 2025</t>
  </si>
  <si>
    <t xml:space="preserve">CMP-07</t>
  </si>
  <si>
    <t xml:space="preserve">Energy saving: oracle router vs 80%-accurate router</t>
  </si>
  <si>
    <t xml:space="preserve">'After' is the realistic router; shows share of oracle gain kept</t>
  </si>
  <si>
    <t xml:space="preserve">CMP-08</t>
  </si>
  <si>
    <t xml:space="preserve">Communication cost: baseline vs proposed</t>
  </si>
  <si>
    <t xml:space="preserve">CMP-09</t>
  </si>
  <si>
    <t xml:space="preserve">Latency: baseline vs proposed</t>
  </si>
  <si>
    <t xml:space="preserve">CMP-10</t>
  </si>
  <si>
    <t xml:space="preserve">Accuracy: baseline vs proposed</t>
  </si>
  <si>
    <t xml:space="preserve">Simulated; accuracy cost of privacy framework</t>
  </si>
  <si>
    <t xml:space="preserve">CMP-11</t>
  </si>
  <si>
    <t xml:space="preserve">Energy per task: centralized RL vs FERMI-6G</t>
  </si>
  <si>
    <t xml:space="preserve">Baseline environment was simplified</t>
  </si>
  <si>
    <t xml:space="preserve">CMP-12</t>
  </si>
  <si>
    <t xml:space="preserve">FERMI-6G fairness: Table II vs Discussion text</t>
  </si>
  <si>
    <t xml:space="preserve">Same paper, two different values</t>
  </si>
  <si>
    <t xml:space="preserve">CMP-13</t>
  </si>
  <si>
    <t xml:space="preserve">Reliability with 50 agents: centralized RL vs FERMI-6G</t>
  </si>
  <si>
    <t xml:space="preserve">CMP-14</t>
  </si>
  <si>
    <t xml:space="preserve">ToolFit: base to hierarchical orchestration</t>
  </si>
  <si>
    <t xml:space="preserve">CMP-15</t>
  </si>
  <si>
    <t xml:space="preserve">ToolFit: hierarchical to + traditional fine-tuning</t>
  </si>
  <si>
    <t xml:space="preserve">CMP-16</t>
  </si>
  <si>
    <t xml:space="preserve">ToolFit: hierarchical to + decoupled fine-tuning</t>
  </si>
  <si>
    <t xml:space="preserve">CMP-17</t>
  </si>
  <si>
    <t xml:space="preserve">ToolFit: local tool selection to GPT-5-mini tool selection</t>
  </si>
  <si>
    <t xml:space="preserve">Tool selection is the main bottleneck</t>
  </si>
  <si>
    <t xml:space="preserve">CMP-18</t>
  </si>
  <si>
    <t xml:space="preserve">ToolFit: local arguments to GPT-5-mini arguments</t>
  </si>
  <si>
    <t xml:space="preserve">CMP-19</t>
  </si>
  <si>
    <t xml:space="preserve">Planner accuracy: full fine-tuning vs LoRA rank 64</t>
  </si>
  <si>
    <t xml:space="preserve">CMP-20</t>
  </si>
  <si>
    <t xml:space="preserve">Planner accuracy: LoRA rank 64 vs rank 16</t>
  </si>
  <si>
    <t xml:space="preserve">CMP-21</t>
  </si>
  <si>
    <t xml:space="preserve">Multi-LoRA accuracy: 1 domain to 4 domains</t>
  </si>
  <si>
    <t xml:space="preserve">CMP-22</t>
  </si>
  <si>
    <t xml:space="preserve">Planner accuracy: 1000 vs 100 training examples</t>
  </si>
  <si>
    <t xml:space="preserve">Limitation / gap</t>
  </si>
  <si>
    <t xml:space="preserve">Category</t>
  </si>
  <si>
    <t xml:space="preserve">Addressed by pipeline? (assumed)</t>
  </si>
  <si>
    <t xml:space="preserve">Pipeline note</t>
  </si>
  <si>
    <t xml:space="preserve">LIM-01</t>
  </si>
  <si>
    <t xml:space="preserve">SLM parity evidence comes from standard benchmarks; long-tail production failures not captured</t>
  </si>
  <si>
    <t xml:space="preserve">Evaluation</t>
  </si>
  <si>
    <t xml:space="preserve">Not assessed</t>
  </si>
  <si>
    <t xml:space="preserve">LIM-02</t>
  </si>
  <si>
    <t xml:space="preserve">Federated post-training on interaction traces is unsolved</t>
  </si>
  <si>
    <t xml:space="preserve">Post-deployment learning</t>
  </si>
  <si>
    <t xml:space="preserve">Sec. 6.2; Sec. 7 item 1</t>
  </si>
  <si>
    <t xml:space="preserve">Pipeline abstract has no federated or on-device learning step</t>
  </si>
  <si>
    <t xml:space="preserve">LIM-03</t>
  </si>
  <si>
    <t xml:space="preserve">Catastrophic forgetting during local adaptation</t>
  </si>
  <si>
    <t xml:space="preserve">Sec. 7 item 1</t>
  </si>
  <si>
    <t xml:space="preserve">LIM-04</t>
  </si>
  <si>
    <t xml:space="preserve">Small models cannot recover from errors by scale; need lightweight error correction</t>
  </si>
  <si>
    <t xml:space="preserve">Capability</t>
  </si>
  <si>
    <t xml:space="preserve">Sec. 3.4 item 4; Sec. 7 item 2</t>
  </si>
  <si>
    <t xml:space="preserve">LIM-05</t>
  </si>
  <si>
    <t xml:space="preserve">Accuracy-only leaderboards; need latency, energy, memory, offline-failure scoring</t>
  </si>
  <si>
    <t xml:space="preserve">Sec. 7 item 6</t>
  </si>
  <si>
    <t xml:space="preserve">Addressed only if the pipeline adds these metrics</t>
  </si>
  <si>
    <t xml:space="preserve">LIM-06</t>
  </si>
  <si>
    <t xml:space="preserve">Low feedback participation (495 of 30,000 users)</t>
  </si>
  <si>
    <t xml:space="preserve">LIM-07</t>
  </si>
  <si>
    <t xml:space="preserve">Manual error analysis does not scale</t>
  </si>
  <si>
    <t xml:space="preserve">LIM-08</t>
  </si>
  <si>
    <t xml:space="preserve">Privacy rules blocked storing query-response pairs</t>
  </si>
  <si>
    <t xml:space="preserve">Privacy</t>
  </si>
  <si>
    <t xml:space="preserve">Partial</t>
  </si>
  <si>
    <t xml:space="preserve">Local learning keeps data on device, if the pipeline includes on-device adaptation (unspecified)</t>
  </si>
  <si>
    <t xml:space="preserve">LIM-09</t>
  </si>
  <si>
    <t xml:space="preserve">Continual learning without forgetting</t>
  </si>
  <si>
    <t xml:space="preserve">Discussion, subsection D</t>
  </si>
  <si>
    <t xml:space="preserve">LIM-10</t>
  </si>
  <si>
    <t xml:space="preserve">Single-turn queries only; agentic routing must count cumulative trajectory cost</t>
  </si>
  <si>
    <t xml:space="preserve">Scope</t>
  </si>
  <si>
    <t xml:space="preserve">App. C item 2; App. D.1</t>
  </si>
  <si>
    <t xml:space="preserve">Pipeline targets agentic setting; trajectory cost not yet defined</t>
  </si>
  <si>
    <t xml:space="preserve">LIM-11</t>
  </si>
  <si>
    <t xml:space="preserve">Software power telemetry has 10-15% error</t>
  </si>
  <si>
    <t xml:space="preserve">App. C item 1</t>
  </si>
  <si>
    <t xml:space="preserve">Use a hardware power meter</t>
  </si>
  <si>
    <t xml:space="preserve">LIM-12</t>
  </si>
  <si>
    <t xml:space="preserve">Judged by an LLM (Qwen3-235B)</t>
  </si>
  <si>
    <t xml:space="preserve">App. C item 3</t>
  </si>
  <si>
    <t xml:space="preserve">LIM-13</t>
  </si>
  <si>
    <t xml:space="preserve">Hardware coverage excludes other mobile NPUs and edge accelerators</t>
  </si>
  <si>
    <t xml:space="preserve">Hardware</t>
  </si>
  <si>
    <t xml:space="preserve">App. C item 4</t>
  </si>
  <si>
    <t xml:space="preserve">LIM-14</t>
  </si>
  <si>
    <t xml:space="preserve">Simulated only; assumes perfectly working policy and privacy engines</t>
  </si>
  <si>
    <t xml:space="preserve">Sec. 5.4</t>
  </si>
  <si>
    <t xml:space="preserve">LIM-15</t>
  </si>
  <si>
    <t xml:space="preserve">Privacy defined on data and updates, not on agent behavior (memory, disclosures to other agents)</t>
  </si>
  <si>
    <t xml:space="preserve">Sec. 2.3</t>
  </si>
  <si>
    <t xml:space="preserve">Localization reduces exposure; agent-level behavior not covered</t>
  </si>
  <si>
    <t xml:space="preserve">LIM-16</t>
  </si>
  <si>
    <t xml:space="preserve">Compression accuracy loss on domain reasoning is uncharacterized</t>
  </si>
  <si>
    <t xml:space="preserve">Compression</t>
  </si>
  <si>
    <t xml:space="preserve">Opportunity: measure it for agentic tasks</t>
  </si>
  <si>
    <t xml:space="preserve">LIM-17</t>
  </si>
  <si>
    <t xml:space="preserve">LLM latency exceeds control-loop time scales</t>
  </si>
  <si>
    <t xml:space="preserve">LIM-18</t>
  </si>
  <si>
    <t xml:space="preserve">No domain-specific agentic benchmarks</t>
  </si>
  <si>
    <t xml:space="preserve">Sec. 6.5</t>
  </si>
  <si>
    <t xml:space="preserve">LIM-19</t>
  </si>
  <si>
    <t xml:space="preserve">Data-sovereignty rules block sending full state to third-party LLMs</t>
  </si>
  <si>
    <t xml:space="preserve">Sec. 6.6</t>
  </si>
  <si>
    <t xml:space="preserve">Localization addresses this directly</t>
  </si>
  <si>
    <t xml:space="preserve">LIM-20</t>
  </si>
  <si>
    <t xml:space="preserve">No standard evaluation for on-device learning; benchmark vs real-deployment gap</t>
  </si>
  <si>
    <t xml:space="preserve">Abstract; Sec. 7</t>
  </si>
  <si>
    <t xml:space="preserve">LIM-21</t>
  </si>
  <si>
    <t xml:space="preserve">Solution components optimized in isolation; no end-to-end design tools</t>
  </si>
  <si>
    <t xml:space="preserve">Sec. 7 (End-to-end design)</t>
  </si>
  <si>
    <t xml:space="preserve">Pipeline combines techniques, but joint optimization not specified</t>
  </si>
  <si>
    <t xml:space="preserve">LIM-22</t>
  </si>
  <si>
    <t xml:space="preserve">Peak RAM often omits the buffer memory</t>
  </si>
  <si>
    <t xml:space="preserve">Metrics discussion before Sec. 7</t>
  </si>
  <si>
    <t xml:space="preserve">Report KV cache and adapter memory too</t>
  </si>
  <si>
    <t xml:space="preserve">LIM-23</t>
  </si>
  <si>
    <t xml:space="preserve">Device cannot know whether its own answer is correct</t>
  </si>
  <si>
    <t xml:space="preserve">Fallback</t>
  </si>
  <si>
    <t xml:space="preserve">Sec. 1 (Challenges of HI)</t>
  </si>
  <si>
    <t xml:space="preserve">Pipeline must define the fallback trigger</t>
  </si>
  <si>
    <t xml:space="preserve">LIM-24</t>
  </si>
  <si>
    <t xml:space="preserve">Assumes the edge server is reachable</t>
  </si>
  <si>
    <t xml:space="preserve">Sec. 1; Sec. 6</t>
  </si>
  <si>
    <t xml:space="preserve">Pipeline targets no-connection failures</t>
  </si>
  <si>
    <t xml:space="preserve">LIM-25</t>
  </si>
  <si>
    <t xml:space="preserve">Dog-breed result assumes a 100%-accurate large model</t>
  </si>
  <si>
    <t xml:space="preserve">Sec. 5 (L-ML)</t>
  </si>
  <si>
    <t xml:space="preserve">LIM-26</t>
  </si>
  <si>
    <t xml:space="preserve">DNN partitioning infeasible on MCU/IoT-class devices</t>
  </si>
  <si>
    <t xml:space="preserve">Appendix; Table 6</t>
  </si>
  <si>
    <t xml:space="preserve">LIM-27</t>
  </si>
  <si>
    <t xml:space="preserve">Classification tasks only, no agentic loop</t>
  </si>
  <si>
    <t xml:space="preserve">Sec. 3-6</t>
  </si>
  <si>
    <t xml:space="preserve">LIM-28</t>
  </si>
  <si>
    <t xml:space="preserve">Baselines simplified; direct comparison may be misleading</t>
  </si>
  <si>
    <t xml:space="preserve">LIM-29</t>
  </si>
  <si>
    <t xml:space="preserve">Fairness, URLLC latency, real testbed validation open</t>
  </si>
  <si>
    <t xml:space="preserve">Sec. VII</t>
  </si>
  <si>
    <t xml:space="preserve">LIM-30</t>
  </si>
  <si>
    <t xml:space="preserve">Assumes agents rent compute from nearby nodes, which conflicts with full localization</t>
  </si>
  <si>
    <t xml:space="preserve">Sec. 3 (examples)</t>
  </si>
  <si>
    <t xml:space="preserve">Divergent from pipeline objective</t>
  </si>
  <si>
    <t xml:space="preserve">LIM-31</t>
  </si>
  <si>
    <t xml:space="preserve">No existing framework achieves privacy, scalability, heterogeneity and autonomy together</t>
  </si>
  <si>
    <t xml:space="preserve">Sec. 5; Table 1</t>
  </si>
  <si>
    <t xml:space="preserve">LIM-32</t>
  </si>
  <si>
    <t xml:space="preserve">On-device agents need external support and connectivity for complex or high-risk tasks</t>
  </si>
  <si>
    <t xml:space="preserve">Sec. 4.4 (Deployment)</t>
  </si>
  <si>
    <t xml:space="preserve">Directly targeted; evidence needed</t>
  </si>
  <si>
    <t xml:space="preserve">LIM-33</t>
  </si>
  <si>
    <t xml:space="preserve">Single small-model agents struggle with multi-step tool use and error recovery</t>
  </si>
  <si>
    <t xml:space="preserve">Sec. 3 (single-agent pattern)</t>
  </si>
  <si>
    <t xml:space="preserve">LIM-34</t>
  </si>
  <si>
    <t xml:space="preserve">Local fine-tuning can forget previously learned knowledge</t>
  </si>
  <si>
    <t xml:space="preserve">Sec. 3 (adaptation pattern)</t>
  </si>
  <si>
    <t xml:space="preserve">LIM-35</t>
  </si>
  <si>
    <t xml:space="preserve">Tool selection is the main failure of local models</t>
  </si>
  <si>
    <t xml:space="preserve">LIM-36</t>
  </si>
  <si>
    <t xml:space="preserve">Long tool descriptions (30 tools = 9.8K tokens) lower accuracy</t>
  </si>
  <si>
    <t xml:space="preserve">LIM-37</t>
  </si>
  <si>
    <t xml:space="preserve">Each new tool requires fine-tuning new adapters</t>
  </si>
  <si>
    <t xml:space="preserve">LIM-38</t>
  </si>
  <si>
    <t xml:space="preserve">Tested on consumer GPUs, not IoT-class devices</t>
  </si>
  <si>
    <t xml:space="preserve">LIM-39</t>
  </si>
  <si>
    <t xml:space="preserve">Plans are fixed in advance; not adaptive to feedback</t>
  </si>
  <si>
    <t xml:space="preserve">Limitations and future work</t>
  </si>
  <si>
    <t xml:space="preserve">LIM-40</t>
  </si>
  <si>
    <t xml:space="preserve">No on-device latency or energy reported</t>
  </si>
  <si>
    <t xml:space="preserve">Sec. 5; Conclusion</t>
  </si>
  <si>
    <t xml:space="preserve">LIM-41</t>
  </si>
  <si>
    <t xml:space="preserve">Multi-LoRA accuracy falls as domains are added (85.1 to 69.7)</t>
  </si>
  <si>
    <t xml:space="preserve">Approach</t>
  </si>
  <si>
    <t xml:space="preserve">Reported result</t>
  </si>
  <si>
    <t xml:space="preserve">Pipeline stage (assumed)</t>
  </si>
  <si>
    <t xml:space="preserve">Weight quantization to 4-bit / FP4; FP4 on a larger model beats a smaller model at higher precision</t>
  </si>
  <si>
    <t xml:space="preserve">Sec. 5 (Conclusion); App. E.1</t>
  </si>
  <si>
    <t xml:space="preserve">IPW best on memory-rich devices (MoE)</t>
  </si>
  <si>
    <t xml:space="preserve">4-bit quantization, structured pruning, knowledge distillation</t>
  </si>
  <si>
    <t xml:space="preserve">Sec. 2 (AIOps paragraph); Sec. 6.2</t>
  </si>
  <si>
    <t xml:space="preserve">4-8x memory reduction; accuracy loss uncharacterized</t>
  </si>
  <si>
    <t xml:space="preserve">Replace a large router with a fine-tuned small model</t>
  </si>
  <si>
    <t xml:space="preserve">70B to 8B, 96% accuracy, 70% lower latency</t>
  </si>
  <si>
    <t xml:space="preserve">Quantized TFLite small models</t>
  </si>
  <si>
    <t xml:space="preserve">Sec. 4-5</t>
  </si>
  <si>
    <t xml:space="preserve">0.45 MB / 0.23 MB, 62.58% / 63.86% accuracy</t>
  </si>
  <si>
    <t xml:space="preserve">Adaptation</t>
  </si>
  <si>
    <t xml:space="preserve">LoRA / PEFT fine-tuning</t>
  </si>
  <si>
    <t xml:space="preserve">Kadekodi; Chen; Shukla; Agrawal</t>
  </si>
  <si>
    <t xml:space="preserve">AFX Sec. 4.1; Chen Sec. 5.1; Agrawal Sec. 3</t>
  </si>
  <si>
    <t xml:space="preserve">LoRA rank 64: 85.1%; rank 16: 72.9% (Chen)</t>
  </si>
  <si>
    <t xml:space="preserve">Personalization / recovery</t>
  </si>
  <si>
    <t xml:space="preserve">Decoupled adapters per subtask (tool selection vs arguments)</t>
  </si>
  <si>
    <t xml:space="preserve">Sec. 4.1</t>
  </si>
  <si>
    <t xml:space="preserve">ToolFit 16.0% to 61.5%</t>
  </si>
  <si>
    <t xml:space="preserve">Multi-LoRA weight merging</t>
  </si>
  <si>
    <t xml:space="preserve">Sec. 5.2</t>
  </si>
  <si>
    <t xml:space="preserve">85.1% to 69.7% from 1 to 4 domains</t>
  </si>
  <si>
    <t xml:space="preserve">Fine-tuning instead of long prompts to cut KV cache</t>
  </si>
  <si>
    <t xml:space="preserve">Sec. 1; Sec. 3</t>
  </si>
  <si>
    <t xml:space="preserve">Not measured on device</t>
  </si>
  <si>
    <t xml:space="preserve">Architecture</t>
  </si>
  <si>
    <t xml:space="preserve">Planner and action model separation</t>
  </si>
  <si>
    <t xml:space="preserve">Sec. 3.1</t>
  </si>
  <si>
    <t xml:space="preserve">98.1% in-domain</t>
  </si>
  <si>
    <t xml:space="preserve">Hierarchical toolset routing before tool selection</t>
  </si>
  <si>
    <t xml:space="preserve">Sec. 4.2</t>
  </si>
  <si>
    <t xml:space="preserve">ToolFit 10.4% to 16.0%</t>
  </si>
  <si>
    <t xml:space="preserve">Fallback gate</t>
  </si>
  <si>
    <t xml:space="preserve">Agent topologies: single, hierarchical, peer-to-peer, hybrid</t>
  </si>
  <si>
    <t xml:space="preserve">Agrawal; Tian</t>
  </si>
  <si>
    <t xml:space="preserve">Agrawal Sec. 3; Tian Sec. 5.2</t>
  </si>
  <si>
    <t xml:space="preserve">Qualitative</t>
  </si>
  <si>
    <t xml:space="preserve">Hierarchical control: slow planning, fast reactive policies</t>
  </si>
  <si>
    <t xml:space="preserve">Proposed, not measured</t>
  </si>
  <si>
    <t xml:space="preserve">Fallback / routing</t>
  </si>
  <si>
    <t xml:space="preserve">Confidence-threshold offloading with an offload cost</t>
  </si>
  <si>
    <t xml:space="preserve">35.5% offloaded, 83.52% accuracy</t>
  </si>
  <si>
    <t xml:space="preserve">Query routing across local and cloud models</t>
  </si>
  <si>
    <t xml:space="preserve">60-80% energy/compute/cost reduction</t>
  </si>
  <si>
    <t xml:space="preserve">Split agents (activations exchanged between tiers)</t>
  </si>
  <si>
    <t xml:space="preserve">Sec. 3; Sec. 4.1</t>
  </si>
  <si>
    <t xml:space="preserve">Qualitative; inference-attack risk noted</t>
  </si>
  <si>
    <t xml:space="preserve">DNN partitioning (shown infeasible on small devices)</t>
  </si>
  <si>
    <t xml:space="preserve">74.34 ms full offload vs 618-8217 ms partitioned</t>
  </si>
  <si>
    <t xml:space="preserve">MAPE feedback loop with fine-tuning</t>
  </si>
  <si>
    <t xml:space="preserve">Abstract; Discussion</t>
  </si>
  <si>
    <t xml:space="preserve">See Metrics SHUK-*</t>
  </si>
  <si>
    <t xml:space="preserve">On-device learning by distribution-change regime</t>
  </si>
  <si>
    <t xml:space="preserve">Sec. 3-7</t>
  </si>
  <si>
    <t xml:space="preserve">Survey of ~70 works</t>
  </si>
  <si>
    <t xml:space="preserve">Federated learning / FedAvg</t>
  </si>
  <si>
    <t xml:space="preserve">Ahmed; Andong; Agrawal</t>
  </si>
  <si>
    <t xml:space="preserve">Ahmed Sec. 3; Andong Sec. III-E; Agrawal Sec. 3</t>
  </si>
  <si>
    <t xml:space="preserve">Ahmed: 480 to 38 MB/round (simulated)</t>
  </si>
  <si>
    <t xml:space="preserve">Retraining references</t>
  </si>
  <si>
    <t xml:space="preserve">Data flywheel (LLM-to-SLM conversion), confidence-filtered self-training, self-supervised learning</t>
  </si>
  <si>
    <t xml:space="preserve">Sections 1-3 of the PDF</t>
  </si>
  <si>
    <t xml:space="preserve">Orientation only; not evidence</t>
  </si>
  <si>
    <t xml:space="preserve">Secure aggregation with pairwise masking (ECDH)</t>
  </si>
  <si>
    <t xml:space="preserve">Sec. III-E</t>
  </si>
  <si>
    <t xml:space="preserve">Simulation only</t>
  </si>
  <si>
    <t xml:space="preserve">Differential privacy, k-anonymity, trusted execution environments</t>
  </si>
  <si>
    <t xml:space="preserve">Agrawal; Lovén</t>
  </si>
  <si>
    <t xml:space="preserve">Agrawal Sec. 4.1; Lovén Sec. 1</t>
  </si>
  <si>
    <t xml:space="preserve">Intelligence per watt (accuracy / power)</t>
  </si>
  <si>
    <t xml:space="preserve">IPW up 5.3x, 2023-2025</t>
  </si>
  <si>
    <t xml:space="preserve">ToolFit with an LLM judge</t>
  </si>
  <si>
    <t xml:space="preserve">0-10 score, shown as %</t>
  </si>
  <si>
    <t xml:space="preserve">SWaP-aware scoring (latency, energy, memory, offline failure)</t>
  </si>
  <si>
    <t xml:space="preserve">Proposed</t>
  </si>
  <si>
    <t xml:space="preserve">Solution-, hardware- and co-design benchmarks for on-device learning</t>
  </si>
  <si>
    <t xml:space="preserve">Framework</t>
  </si>
  <si>
    <t xml:space="preserve">Taxonomy (deployment, role, topology, adaptation)</t>
  </si>
  <si>
    <t xml:space="preserve">Scalability</t>
  </si>
  <si>
    <t xml:space="preserve">Heterogeneity</t>
  </si>
  <si>
    <t xml:space="preserve">Autonomy</t>
  </si>
  <si>
    <t xml:space="preserve">Dimensions met (of 4)</t>
  </si>
  <si>
    <t xml:space="preserve">AgentsCoDriver</t>
  </si>
  <si>
    <t xml:space="preserve">On-device, domain control, peer-to-peer, static-prompt</t>
  </si>
  <si>
    <t xml:space="preserve">Yes</t>
  </si>
  <si>
    <t xml:space="preserve">MobileLLM</t>
  </si>
  <si>
    <t xml:space="preserve">On-device, user-facing, single, static-prompt</t>
  </si>
  <si>
    <t xml:space="preserve">O-RAN</t>
  </si>
  <si>
    <t xml:space="preserve">Edge-hosted, system and operations, hierarchical, local fine-tuning</t>
  </si>
  <si>
    <t xml:space="preserve">Industry 5.0</t>
  </si>
  <si>
    <t xml:space="preserve">Edge-hosted, system and operations, hybrid multi-agent, static-prompt</t>
  </si>
  <si>
    <t xml:space="preserve">Agentyxcrypt</t>
  </si>
  <si>
    <t xml:space="preserve">Edge-hosted, system and operations, peer-to-peer, static-prompt</t>
  </si>
  <si>
    <t xml:space="preserve">Source: Agrawal, 'LLM-Based Agents on the Edge: A Survey ...', Table 1 (Sec. 5). The paper states no framework meets all four.</t>
  </si>
  <si>
    <t xml:space="preserve">Recommendation</t>
  </si>
  <si>
    <t xml:space="preserve">Method</t>
  </si>
  <si>
    <t xml:space="preserve">Metrics to report</t>
  </si>
  <si>
    <t xml:space="preserve">Supporting sources</t>
  </si>
  <si>
    <t xml:space="preserve">Status</t>
  </si>
  <si>
    <t xml:space="preserve">Notes / owner</t>
  </si>
  <si>
    <t xml:space="preserve">REC-1</t>
  </si>
  <si>
    <t xml:space="preserve">Make fallback rate a measured, compression-dependent outcome</t>
  </si>
  <si>
    <t xml:space="preserve">Compress in levels (FP16, INT8, INT4, distilled/pruned); run each on a multi-step tool-use benchmark such as MCP-Bench</t>
  </si>
  <si>
    <t xml:space="preserve">Offline task-completion rate; fallback rate split by capability vs connectivity trigger; per-step failure compounding; IPW; peak RAM incl. KV cache and adapters; hardware-metered power</t>
  </si>
  <si>
    <t xml:space="preserve">Kadekodi Sec. 3.1; Saad-Falcon App. C, D.1; Ameur Sec. 6.2; Pavan Sec. 7</t>
  </si>
  <si>
    <t xml:space="preserve">Not started</t>
  </si>
  <si>
    <t xml:space="preserve">REC-2</t>
  </si>
  <si>
    <t xml:space="preserve">Add a step-level fallback gate with minimal-payload escalation</t>
  </si>
  <si>
    <t xml:space="preserve">Use tool-selection confidence as the gate; on escalation send only stripped or generalized context</t>
  </si>
  <si>
    <t xml:space="preserve">Bytes exposed per task; gate accuracy vs an ~80%-accurate router; cost per trajectory</t>
  </si>
  <si>
    <t xml:space="preserve">Al-Atat Sec. 4; Kadekodi Table 2; Agrawal Sec. 4.1; Saad-Falcon Sec. 4.3</t>
  </si>
  <si>
    <t xml:space="preserve">REC-3</t>
  </si>
  <si>
    <t xml:space="preserve">Test personalization inside the same memory budget</t>
  </si>
  <si>
    <t xml:space="preserve">LoRA as recovery after compression and as personalization; measure forgetting and effect on fallback rate; run on real constrained hardware in a safety-critical domain</t>
  </si>
  <si>
    <t xml:space="preserve">Forgetting; fallback rate before/after adaptation; memory split (base, adapters, KV cache, buffer)</t>
  </si>
  <si>
    <t xml:space="preserve">Tian Sec. 7 item 1; Chen Table 2; Pavan Sec. 3, 7</t>
  </si>
  <si>
    <t xml:space="preserve">Core gap (from the analysis): no paper read measures how compression level affects completion of multi-step agentic tasks, what share of steps still need the cloud at each level, behavior under lost connectivity, or data sent at each fallback. Based only on these 12 papers; confirm with a wider search.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</si>
</sst>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pproaches" displayName="tblApproaches" ref="A1:F27" headerRowCount="1" totalsRowCount="0" totalsRowShown="0">
  <autoFilter ref="A1:F27"/>
  <tableColumns count="6">
    <tableColumn id="1" name="Category"/>
    <tableColumn id="2" name="Approach"/>
    <tableColumn id="3" name="Paper"/>
    <tableColumn id="4" name="Location in paper"/>
    <tableColumn id="5" name="Reported result"/>
    <tableColumn id="6" name="Pipeline stage (assumed)"/>
  </tableColumns>
</table>
</file>

<file path=xl/tables/table2.xml><?xml version="1.0" encoding="utf-8"?>
<table xmlns="http://schemas.openxmlformats.org/spreadsheetml/2006/main" id="2" name="tblCompare" displayName="tblCompare" ref="A1:M23" headerRowCount="1" totalsRowCount="0" totalsRowShown="0">
  <autoFilter ref="A1:M23"/>
  <tableColumns count="13">
    <tableColumn id="1" name="ID"/>
    <tableColumn id="2" name="Comparison"/>
    <tableColumn id="3" name="Paper"/>
    <tableColumn id="4" name="Before ID"/>
    <tableColumn id="5" name="Before value"/>
    <tableColumn id="6" name="After ID"/>
    <tableColumn id="7" name="After value"/>
    <tableColumn id="8" name="Unit"/>
    <tableColumn id="9" name="Change (in unit)"/>
    <tableColumn id="10" name="Relative change"/>
    <tableColumn id="11" name="Better direction"/>
    <tableColumn id="12" name="Improved?"/>
    <tableColumn id="13" name="Notes"/>
  </tableColumns>
</table>
</file>

<file path=xl/tables/table3.xml><?xml version="1.0" encoding="utf-8"?>
<table xmlns="http://schemas.openxmlformats.org/spreadsheetml/2006/main" id="3" name="tblFrameworks" displayName="tblFrameworks" ref="A1:G6" headerRowCount="1" totalsRowCount="0" totalsRowShown="0">
  <autoFilter ref="A1:G6"/>
  <tableColumns count="7">
    <tableColumn id="1" name="Framework"/>
    <tableColumn id="2" name="Taxonomy (deployment, role, topology, adaptation)"/>
    <tableColumn id="3" name="Privacy"/>
    <tableColumn id="4" name="Scalability"/>
    <tableColumn id="5" name="Heterogeneity"/>
    <tableColumn id="6" name="Autonomy"/>
    <tableColumn id="7" name="Dimensions met (of 4)"/>
  </tableColumns>
</table>
</file>

<file path=xl/tables/table4.xml><?xml version="1.0" encoding="utf-8"?>
<table xmlns="http://schemas.openxmlformats.org/spreadsheetml/2006/main" id="4" name="tblLimits" displayName="tblLimits" ref="A1:G42" headerRowCount="1" totalsRowCount="0" totalsRowShown="0">
  <autoFilter ref="A1:G42"/>
  <tableColumns count="7">
    <tableColumn id="1" name="ID"/>
    <tableColumn id="2" name="Paper"/>
    <tableColumn id="3" name="Limitation / gap"/>
    <tableColumn id="4" name="Category"/>
    <tableColumn id="5" name="Location in paper"/>
    <tableColumn id="6" name="Addressed by pipeline? (assumed)"/>
    <tableColumn id="7" name="Pipeline note"/>
  </tableColumns>
</table>
</file>

<file path=xl/tables/table5.xml><?xml version="1.0" encoding="utf-8"?>
<table xmlns="http://schemas.openxmlformats.org/spreadsheetml/2006/main" id="5" name="tblMetrics" displayName="tblMetrics" ref="A1:J110" headerRowCount="1" totalsRowCount="0" totalsRowShown="0">
  <autoFilter ref="A1:J110"/>
  <tableColumns count="10">
    <tableColumn id="1" name="ID"/>
    <tableColumn id="2" name="Paper"/>
    <tableColumn id="3" name="Metric"/>
    <tableColumn id="4" name="Value"/>
    <tableColumn id="5" name="Value (high end, if range)"/>
    <tableColumn id="6" name="Unit"/>
    <tableColumn id="7" name="Context / condition"/>
    <tableColumn id="8" name="Location in paper"/>
    <tableColumn id="9" name="Evidence type"/>
    <tableColumn id="10" name="Reliability flag"/>
  </tableColumns>
</table>
</file>

<file path=xl/tables/table6.xml><?xml version="1.0" encoding="utf-8"?>
<table xmlns="http://schemas.openxmlformats.org/spreadsheetml/2006/main" id="6" name="tblPapers" displayName="tblPapers" ref="A1:I14" headerRowCount="1" totalsRowCount="0" totalsRowShown="0">
  <autoFilter ref="A1:I14"/>
  <tableColumns count="9">
    <tableColumn id="1" name="Short name"/>
    <tableColumn id="2" name="Full title"/>
    <tableColumn id="3" name="Year"/>
    <tableColumn id="4" name="Venue / identifier"/>
    <tableColumn id="5" name="Type"/>
    <tableColumn id="6" name="Evidence level"/>
    <tableColumn id="7" name="Tested on edge hardware?"/>
    <tableColumn id="8" name="Relevance to pipeline (assumed)"/>
    <tableColumn id="9" name="Notes"/>
  </tableColumns>
</table>
</file>

<file path=xl/tables/table7.xml><?xml version="1.0" encoding="utf-8"?>
<table xmlns="http://schemas.openxmlformats.org/spreadsheetml/2006/main" id="7" name="tblRecs" displayName="tblRecs" ref="A1:G4" headerRowCount="1" totalsRowCount="0" totalsRowShown="0">
  <autoFilter ref="A1:G4"/>
  <tableColumns count="7">
    <tableColumn id="1" name="ID"/>
    <tableColumn id="2" name="Recommendation"/>
    <tableColumn id="3" name="Method"/>
    <tableColumn id="4" name="Metrics to report"/>
    <tableColumn id="5" name="Supporting sources"/>
    <tableColumn id="6" name="Status"/>
    <tableColumn id="7" name="Notes / own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2" t="s">
        <v>9</v>
      </c>
    </row>
    <row r="9" customFormat="false" ht="15" hidden="false" customHeight="false" outlineLevel="0" collapsed="false">
      <c r="B9" s="4" t="s">
        <v>10</v>
      </c>
    </row>
    <row r="10" customFormat="false" ht="15" hidden="false" customHeight="false" outlineLevel="0" collapsed="false">
      <c r="B10" s="4" t="s">
        <v>11</v>
      </c>
    </row>
    <row r="11" customFormat="false" ht="15" hidden="false" customHeight="false" outlineLevel="0" collapsed="false">
      <c r="B11" s="4" t="s">
        <v>12</v>
      </c>
    </row>
    <row r="12" customFormat="false" ht="15" hidden="false" customHeight="false" outlineLevel="0" collapsed="false">
      <c r="B12" s="4" t="s">
        <v>13</v>
      </c>
    </row>
    <row r="13" customFormat="false" ht="15" hidden="false" customHeight="false" outlineLevel="0" collapsed="false">
      <c r="B13" s="4" t="s">
        <v>14</v>
      </c>
    </row>
    <row r="14" customFormat="false" ht="15" hidden="false" customHeight="false" outlineLevel="0" collapsed="false">
      <c r="B14" s="4" t="s">
        <v>15</v>
      </c>
    </row>
    <row r="16" customFormat="false" ht="15" hidden="false" customHeight="false" outlineLevel="0" collapsed="false">
      <c r="A16" s="2" t="s">
        <v>16</v>
      </c>
    </row>
    <row r="17" customFormat="false" ht="15" hidden="false" customHeight="false" outlineLevel="0" collapsed="false">
      <c r="A17" s="5" t="s">
        <v>17</v>
      </c>
      <c r="B17" s="6" t="n">
        <f aca="false">COUNTA(Papers!A:A)-1</f>
        <v>13</v>
      </c>
    </row>
    <row r="18" customFormat="false" ht="15" hidden="false" customHeight="false" outlineLevel="0" collapsed="false">
      <c r="A18" s="5" t="s">
        <v>18</v>
      </c>
      <c r="B18" s="6" t="n">
        <f aca="false">COUNTA(Metrics!A:A)-1</f>
        <v>109</v>
      </c>
    </row>
    <row r="19" customFormat="false" ht="15" hidden="false" customHeight="false" outlineLevel="0" collapsed="false">
      <c r="A19" s="5" t="s">
        <v>19</v>
      </c>
      <c r="B19" s="6" t="str">
        <f aca="false">COUNTIF(Comparisons!L:L,"Yes")&amp;" of "&amp;(COUNTA(Comparisons!A:A)-1)</f>
        <v>14 of 22</v>
      </c>
    </row>
    <row r="20" customFormat="false" ht="15" hidden="false" customHeight="false" outlineLevel="0" collapsed="false">
      <c r="A20" s="5" t="s">
        <v>20</v>
      </c>
      <c r="B20" s="6" t="n">
        <f aca="false">COUNTA(Limitations!A:A)-1</f>
        <v>41</v>
      </c>
    </row>
    <row r="21" customFormat="false" ht="15" hidden="false" customHeight="false" outlineLevel="0" collapsed="false">
      <c r="A21" s="5" t="s">
        <v>21</v>
      </c>
      <c r="B21" s="6" t="n">
        <f aca="false">COUNTIF(Limitations!F:F,"Yes")</f>
        <v>0</v>
      </c>
    </row>
    <row r="22" customFormat="false" ht="15" hidden="false" customHeight="false" outlineLevel="0" collapsed="false">
      <c r="A22" s="5" t="s">
        <v>22</v>
      </c>
      <c r="B22" s="6" t="n">
        <f aca="false">COUNTIF(Limitations!F:F,"Partial")</f>
        <v>9</v>
      </c>
    </row>
    <row r="23" customFormat="false" ht="15" hidden="false" customHeight="false" outlineLevel="0" collapsed="false">
      <c r="A23" s="5" t="s">
        <v>23</v>
      </c>
      <c r="B23" s="6" t="n">
        <f aca="false">COUNTIF(Limitations!F:F,"No")</f>
        <v>20</v>
      </c>
    </row>
    <row r="24" customFormat="false" ht="15" hidden="false" customHeight="false" outlineLevel="0" collapsed="false">
      <c r="A24" s="5" t="s">
        <v>24</v>
      </c>
      <c r="B24" s="6" t="n">
        <f aca="false">COUNTIF(Limitations!F:F,"Not assessed")</f>
        <v>12</v>
      </c>
    </row>
    <row r="25" customFormat="false" ht="15" hidden="false" customHeight="false" outlineLevel="0" collapsed="false">
      <c r="A25" s="5" t="s">
        <v>25</v>
      </c>
      <c r="B25" s="6" t="n">
        <f aca="false">COUNTIF(Metrics!J:J,"?*")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7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35.05" hidden="false" customHeight="false" outlineLevel="0" collapsed="false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</row>
    <row r="2" customFormat="false" ht="23.85" hidden="false" customHeight="false" outlineLevel="0" collapsed="false">
      <c r="A2" s="3" t="s">
        <v>35</v>
      </c>
      <c r="B2" s="3" t="s">
        <v>36</v>
      </c>
      <c r="C2" s="3" t="n">
        <v>2026</v>
      </c>
      <c r="D2" s="3" t="s">
        <v>37</v>
      </c>
      <c r="E2" s="3" t="s">
        <v>38</v>
      </c>
      <c r="F2" s="3" t="s">
        <v>39</v>
      </c>
      <c r="G2" s="3" t="s">
        <v>40</v>
      </c>
      <c r="H2" s="4" t="s">
        <v>41</v>
      </c>
      <c r="I2" s="3" t="s">
        <v>42</v>
      </c>
    </row>
    <row r="3" customFormat="false" ht="23.85" hidden="false" customHeight="false" outlineLevel="0" collapsed="false">
      <c r="A3" s="3" t="s">
        <v>43</v>
      </c>
      <c r="B3" s="3" t="s">
        <v>44</v>
      </c>
      <c r="C3" s="3" t="n">
        <v>2025</v>
      </c>
      <c r="D3" s="3" t="s">
        <v>45</v>
      </c>
      <c r="E3" s="3" t="s">
        <v>46</v>
      </c>
      <c r="F3" s="3" t="s">
        <v>47</v>
      </c>
      <c r="G3" s="3" t="s">
        <v>48</v>
      </c>
      <c r="H3" s="4" t="s">
        <v>49</v>
      </c>
      <c r="I3" s="3" t="s">
        <v>50</v>
      </c>
    </row>
    <row r="4" customFormat="false" ht="23.85" hidden="false" customHeight="false" outlineLevel="0" collapsed="false">
      <c r="A4" s="3" t="s">
        <v>51</v>
      </c>
      <c r="B4" s="3" t="s">
        <v>52</v>
      </c>
      <c r="C4" s="3" t="n">
        <v>2025</v>
      </c>
      <c r="D4" s="3" t="s">
        <v>53</v>
      </c>
      <c r="E4" s="3" t="s">
        <v>54</v>
      </c>
      <c r="F4" s="3" t="s">
        <v>55</v>
      </c>
      <c r="G4" s="3" t="s">
        <v>56</v>
      </c>
      <c r="H4" s="4" t="s">
        <v>41</v>
      </c>
      <c r="I4" s="3" t="s">
        <v>57</v>
      </c>
    </row>
    <row r="5" customFormat="false" ht="23.85" hidden="false" customHeight="false" outlineLevel="0" collapsed="false">
      <c r="A5" s="3" t="s">
        <v>58</v>
      </c>
      <c r="B5" s="3" t="s">
        <v>59</v>
      </c>
      <c r="C5" s="3" t="n">
        <v>2026</v>
      </c>
      <c r="D5" s="3" t="s">
        <v>60</v>
      </c>
      <c r="E5" s="3" t="s">
        <v>61</v>
      </c>
      <c r="F5" s="3" t="s">
        <v>62</v>
      </c>
      <c r="G5" s="3" t="s">
        <v>40</v>
      </c>
      <c r="H5" s="4" t="s">
        <v>49</v>
      </c>
      <c r="I5" s="3" t="s">
        <v>63</v>
      </c>
    </row>
    <row r="6" customFormat="false" ht="23.85" hidden="false" customHeight="false" outlineLevel="0" collapsed="false">
      <c r="A6" s="3" t="s">
        <v>64</v>
      </c>
      <c r="B6" s="3" t="s">
        <v>65</v>
      </c>
      <c r="C6" s="3" t="n">
        <v>2026</v>
      </c>
      <c r="D6" s="3" t="s">
        <v>66</v>
      </c>
      <c r="E6" s="3" t="s">
        <v>67</v>
      </c>
      <c r="F6" s="3" t="s">
        <v>68</v>
      </c>
      <c r="G6" s="3" t="s">
        <v>69</v>
      </c>
      <c r="H6" s="4" t="s">
        <v>49</v>
      </c>
      <c r="I6" s="3" t="s">
        <v>70</v>
      </c>
    </row>
    <row r="7" customFormat="false" ht="23.85" hidden="false" customHeight="false" outlineLevel="0" collapsed="false">
      <c r="A7" s="3" t="s">
        <v>71</v>
      </c>
      <c r="B7" s="3" t="s">
        <v>72</v>
      </c>
      <c r="C7" s="3" t="n">
        <v>2026</v>
      </c>
      <c r="D7" s="3" t="s">
        <v>73</v>
      </c>
      <c r="E7" s="3" t="s">
        <v>68</v>
      </c>
      <c r="F7" s="3" t="s">
        <v>74</v>
      </c>
      <c r="G7" s="3" t="s">
        <v>69</v>
      </c>
      <c r="H7" s="4" t="s">
        <v>41</v>
      </c>
      <c r="I7" s="3" t="s">
        <v>75</v>
      </c>
    </row>
    <row r="8" customFormat="false" ht="23.85" hidden="false" customHeight="false" outlineLevel="0" collapsed="false">
      <c r="A8" s="3" t="s">
        <v>76</v>
      </c>
      <c r="B8" s="3" t="s">
        <v>77</v>
      </c>
      <c r="C8" s="3" t="n">
        <v>2023</v>
      </c>
      <c r="D8" s="3" t="s">
        <v>78</v>
      </c>
      <c r="E8" s="3" t="s">
        <v>54</v>
      </c>
      <c r="F8" s="3" t="s">
        <v>79</v>
      </c>
      <c r="G8" s="3" t="s">
        <v>80</v>
      </c>
      <c r="H8" s="4" t="s">
        <v>41</v>
      </c>
      <c r="I8" s="3" t="s">
        <v>81</v>
      </c>
    </row>
    <row r="9" customFormat="false" ht="23.85" hidden="false" customHeight="false" outlineLevel="0" collapsed="false">
      <c r="A9" s="3" t="s">
        <v>82</v>
      </c>
      <c r="B9" s="3" t="s">
        <v>83</v>
      </c>
      <c r="C9" s="3" t="n">
        <v>2025</v>
      </c>
      <c r="D9" s="3" t="s">
        <v>84</v>
      </c>
      <c r="E9" s="3" t="s">
        <v>85</v>
      </c>
      <c r="F9" s="3" t="s">
        <v>86</v>
      </c>
      <c r="G9" s="3" t="s">
        <v>40</v>
      </c>
      <c r="H9" s="4" t="s">
        <v>87</v>
      </c>
      <c r="I9" s="3" t="s">
        <v>88</v>
      </c>
    </row>
    <row r="10" customFormat="false" ht="15" hidden="false" customHeight="false" outlineLevel="0" collapsed="false">
      <c r="A10" s="3" t="s">
        <v>89</v>
      </c>
      <c r="B10" s="3" t="s">
        <v>90</v>
      </c>
      <c r="C10" s="3" t="n">
        <v>2025</v>
      </c>
      <c r="D10" s="3" t="s">
        <v>91</v>
      </c>
      <c r="E10" s="3" t="s">
        <v>38</v>
      </c>
      <c r="F10" s="3" t="s">
        <v>92</v>
      </c>
      <c r="G10" s="3" t="s">
        <v>40</v>
      </c>
      <c r="H10" s="4" t="s">
        <v>87</v>
      </c>
      <c r="I10" s="3" t="s">
        <v>93</v>
      </c>
    </row>
    <row r="11" customFormat="false" ht="23.85" hidden="false" customHeight="false" outlineLevel="0" collapsed="false">
      <c r="A11" s="3" t="s">
        <v>94</v>
      </c>
      <c r="B11" s="3" t="s">
        <v>95</v>
      </c>
      <c r="C11" s="3" t="n">
        <v>2026</v>
      </c>
      <c r="D11" s="3" t="s">
        <v>96</v>
      </c>
      <c r="E11" s="3" t="s">
        <v>68</v>
      </c>
      <c r="F11" s="3" t="s">
        <v>68</v>
      </c>
      <c r="G11" s="3" t="s">
        <v>69</v>
      </c>
      <c r="H11" s="4" t="s">
        <v>41</v>
      </c>
      <c r="I11" s="3" t="s">
        <v>97</v>
      </c>
    </row>
    <row r="12" customFormat="false" ht="23.85" hidden="false" customHeight="false" outlineLevel="0" collapsed="false">
      <c r="A12" s="3" t="s">
        <v>98</v>
      </c>
      <c r="B12" s="3" t="s">
        <v>99</v>
      </c>
      <c r="C12" s="3" t="n">
        <v>2025</v>
      </c>
      <c r="D12" s="3" t="s">
        <v>100</v>
      </c>
      <c r="E12" s="3" t="s">
        <v>85</v>
      </c>
      <c r="F12" s="3" t="s">
        <v>101</v>
      </c>
      <c r="G12" s="3" t="s">
        <v>102</v>
      </c>
      <c r="H12" s="4" t="s">
        <v>41</v>
      </c>
      <c r="I12" s="3" t="s">
        <v>103</v>
      </c>
    </row>
    <row r="13" customFormat="false" ht="23.85" hidden="false" customHeight="false" outlineLevel="0" collapsed="false">
      <c r="A13" s="3" t="s">
        <v>104</v>
      </c>
      <c r="B13" s="3" t="s">
        <v>105</v>
      </c>
      <c r="C13" s="3" t="n">
        <v>2024</v>
      </c>
      <c r="D13" s="3" t="s">
        <v>106</v>
      </c>
      <c r="E13" s="3" t="s">
        <v>85</v>
      </c>
      <c r="F13" s="3" t="s">
        <v>107</v>
      </c>
      <c r="G13" s="3" t="s">
        <v>108</v>
      </c>
      <c r="H13" s="4" t="s">
        <v>41</v>
      </c>
      <c r="I13" s="3" t="s">
        <v>109</v>
      </c>
    </row>
    <row r="14" customFormat="false" ht="23.85" hidden="false" customHeight="false" outlineLevel="0" collapsed="false">
      <c r="A14" s="3" t="s">
        <v>110</v>
      </c>
      <c r="B14" s="3" t="s">
        <v>111</v>
      </c>
      <c r="C14" s="3" t="n">
        <v>2026</v>
      </c>
      <c r="D14" s="3" t="s">
        <v>112</v>
      </c>
      <c r="E14" s="3" t="s">
        <v>113</v>
      </c>
      <c r="F14" s="3" t="s">
        <v>114</v>
      </c>
      <c r="G14" s="3" t="s">
        <v>69</v>
      </c>
      <c r="H14" s="4" t="s">
        <v>87</v>
      </c>
      <c r="I14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2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44"/>
  </cols>
  <sheetData>
    <row r="1" customFormat="false" ht="35.05" hidden="false" customHeight="false" outlineLevel="0" collapsed="false">
      <c r="A1" s="7" t="s">
        <v>116</v>
      </c>
      <c r="B1" s="7" t="s">
        <v>117</v>
      </c>
      <c r="C1" s="7" t="s">
        <v>118</v>
      </c>
      <c r="D1" s="7" t="s">
        <v>119</v>
      </c>
      <c r="E1" s="7" t="s">
        <v>120</v>
      </c>
      <c r="F1" s="7" t="s">
        <v>121</v>
      </c>
      <c r="G1" s="7" t="s">
        <v>122</v>
      </c>
      <c r="H1" s="7" t="s">
        <v>123</v>
      </c>
      <c r="I1" s="7" t="s">
        <v>124</v>
      </c>
      <c r="J1" s="7" t="s">
        <v>125</v>
      </c>
    </row>
    <row r="2" customFormat="false" ht="35.05" hidden="false" customHeight="false" outlineLevel="0" collapsed="false">
      <c r="A2" s="3" t="s">
        <v>126</v>
      </c>
      <c r="B2" s="3" t="s">
        <v>35</v>
      </c>
      <c r="C2" s="3" t="s">
        <v>127</v>
      </c>
      <c r="D2" s="8" t="n">
        <v>170</v>
      </c>
      <c r="E2" s="3"/>
      <c r="F2" s="3" t="s">
        <v>128</v>
      </c>
      <c r="G2" s="3" t="s">
        <v>129</v>
      </c>
      <c r="H2" s="3" t="s">
        <v>130</v>
      </c>
      <c r="I2" s="3" t="s">
        <v>131</v>
      </c>
      <c r="J2" s="3" t="s">
        <v>132</v>
      </c>
    </row>
    <row r="3" customFormat="false" ht="15" hidden="false" customHeight="false" outlineLevel="0" collapsed="false">
      <c r="A3" s="3" t="s">
        <v>133</v>
      </c>
      <c r="B3" s="3" t="s">
        <v>35</v>
      </c>
      <c r="C3" s="3" t="s">
        <v>134</v>
      </c>
      <c r="D3" s="8" t="n">
        <v>30</v>
      </c>
      <c r="E3" s="8" t="n">
        <v>80</v>
      </c>
      <c r="F3" s="3" t="s">
        <v>135</v>
      </c>
      <c r="G3" s="3" t="s">
        <v>136</v>
      </c>
      <c r="H3" s="3" t="s">
        <v>130</v>
      </c>
      <c r="I3" s="3" t="s">
        <v>131</v>
      </c>
      <c r="J3" s="3"/>
    </row>
    <row r="4" customFormat="false" ht="15" hidden="false" customHeight="false" outlineLevel="0" collapsed="false">
      <c r="A4" s="3" t="s">
        <v>137</v>
      </c>
      <c r="B4" s="3" t="s">
        <v>35</v>
      </c>
      <c r="C4" s="3" t="s">
        <v>138</v>
      </c>
      <c r="D4" s="8" t="n">
        <v>200</v>
      </c>
      <c r="E4" s="8" t="n">
        <v>500</v>
      </c>
      <c r="F4" s="3" t="s">
        <v>139</v>
      </c>
      <c r="G4" s="3" t="s">
        <v>140</v>
      </c>
      <c r="H4" s="3" t="s">
        <v>141</v>
      </c>
      <c r="I4" s="3" t="s">
        <v>131</v>
      </c>
      <c r="J4" s="3"/>
    </row>
    <row r="5" customFormat="false" ht="15" hidden="false" customHeight="false" outlineLevel="0" collapsed="false">
      <c r="A5" s="3" t="s">
        <v>142</v>
      </c>
      <c r="B5" s="3" t="s">
        <v>35</v>
      </c>
      <c r="C5" s="3" t="s">
        <v>143</v>
      </c>
      <c r="D5" s="8" t="n">
        <v>50</v>
      </c>
      <c r="E5" s="8" t="n">
        <v>100</v>
      </c>
      <c r="F5" s="3" t="s">
        <v>144</v>
      </c>
      <c r="G5" s="3"/>
      <c r="H5" s="3" t="s">
        <v>141</v>
      </c>
      <c r="I5" s="3" t="s">
        <v>131</v>
      </c>
      <c r="J5" s="3"/>
    </row>
    <row r="6" customFormat="false" ht="23.85" hidden="false" customHeight="false" outlineLevel="0" collapsed="false">
      <c r="A6" s="3" t="s">
        <v>145</v>
      </c>
      <c r="B6" s="3" t="s">
        <v>35</v>
      </c>
      <c r="C6" s="3" t="s">
        <v>146</v>
      </c>
      <c r="D6" s="8" t="n">
        <v>3</v>
      </c>
      <c r="E6" s="3"/>
      <c r="F6" s="3" t="s">
        <v>147</v>
      </c>
      <c r="G6" s="3"/>
      <c r="H6" s="3" t="s">
        <v>141</v>
      </c>
      <c r="I6" s="3" t="s">
        <v>131</v>
      </c>
      <c r="J6" s="3" t="s">
        <v>148</v>
      </c>
    </row>
    <row r="7" customFormat="false" ht="15" hidden="false" customHeight="false" outlineLevel="0" collapsed="false">
      <c r="A7" s="3" t="s">
        <v>149</v>
      </c>
      <c r="B7" s="3" t="s">
        <v>43</v>
      </c>
      <c r="C7" s="3" t="s">
        <v>150</v>
      </c>
      <c r="D7" s="8" t="n">
        <v>495</v>
      </c>
      <c r="E7" s="3"/>
      <c r="F7" s="3" t="s">
        <v>151</v>
      </c>
      <c r="G7" s="3" t="s">
        <v>152</v>
      </c>
      <c r="H7" s="3" t="s">
        <v>153</v>
      </c>
      <c r="I7" s="3" t="s">
        <v>154</v>
      </c>
      <c r="J7" s="3"/>
    </row>
    <row r="8" customFormat="false" ht="15" hidden="false" customHeight="false" outlineLevel="0" collapsed="false">
      <c r="A8" s="3" t="s">
        <v>155</v>
      </c>
      <c r="B8" s="3" t="s">
        <v>43</v>
      </c>
      <c r="C8" s="3" t="s">
        <v>156</v>
      </c>
      <c r="D8" s="8" t="n">
        <v>30000</v>
      </c>
      <c r="E8" s="3"/>
      <c r="F8" s="3" t="s">
        <v>157</v>
      </c>
      <c r="G8" s="3" t="s">
        <v>158</v>
      </c>
      <c r="H8" s="3" t="s">
        <v>153</v>
      </c>
      <c r="I8" s="3" t="s">
        <v>154</v>
      </c>
      <c r="J8" s="3"/>
    </row>
    <row r="9" customFormat="false" ht="15" hidden="false" customHeight="false" outlineLevel="0" collapsed="false">
      <c r="A9" s="3" t="s">
        <v>159</v>
      </c>
      <c r="B9" s="3" t="s">
        <v>43</v>
      </c>
      <c r="C9" s="3" t="s">
        <v>160</v>
      </c>
      <c r="D9" s="3" t="n">
        <f aca="false">D7/D8*100</f>
        <v>1.65</v>
      </c>
      <c r="E9" s="3"/>
      <c r="F9" s="3" t="s">
        <v>161</v>
      </c>
      <c r="G9" s="3" t="s">
        <v>162</v>
      </c>
      <c r="H9" s="3" t="s">
        <v>163</v>
      </c>
      <c r="I9" s="3" t="s">
        <v>164</v>
      </c>
      <c r="J9" s="3" t="s">
        <v>165</v>
      </c>
    </row>
    <row r="10" customFormat="false" ht="15" hidden="false" customHeight="false" outlineLevel="0" collapsed="false">
      <c r="A10" s="3" t="s">
        <v>166</v>
      </c>
      <c r="B10" s="3" t="s">
        <v>43</v>
      </c>
      <c r="C10" s="3" t="s">
        <v>167</v>
      </c>
      <c r="D10" s="8" t="n">
        <v>5.25</v>
      </c>
      <c r="E10" s="3"/>
      <c r="F10" s="3" t="s">
        <v>161</v>
      </c>
      <c r="G10" s="3"/>
      <c r="H10" s="3" t="s">
        <v>153</v>
      </c>
      <c r="I10" s="3" t="s">
        <v>154</v>
      </c>
      <c r="J10" s="3"/>
    </row>
    <row r="11" customFormat="false" ht="15" hidden="false" customHeight="false" outlineLevel="0" collapsed="false">
      <c r="A11" s="3" t="s">
        <v>168</v>
      </c>
      <c r="B11" s="3" t="s">
        <v>43</v>
      </c>
      <c r="C11" s="3" t="s">
        <v>169</v>
      </c>
      <c r="D11" s="8" t="n">
        <v>3.2</v>
      </c>
      <c r="E11" s="3"/>
      <c r="F11" s="3" t="s">
        <v>161</v>
      </c>
      <c r="G11" s="3"/>
      <c r="H11" s="3" t="s">
        <v>153</v>
      </c>
      <c r="I11" s="3" t="s">
        <v>154</v>
      </c>
      <c r="J11" s="3"/>
    </row>
    <row r="12" customFormat="false" ht="15" hidden="false" customHeight="false" outlineLevel="0" collapsed="false">
      <c r="A12" s="3" t="s">
        <v>170</v>
      </c>
      <c r="B12" s="3" t="s">
        <v>43</v>
      </c>
      <c r="C12" s="3" t="s">
        <v>171</v>
      </c>
      <c r="D12" s="8" t="n">
        <v>70</v>
      </c>
      <c r="E12" s="3"/>
      <c r="F12" s="3" t="s">
        <v>172</v>
      </c>
      <c r="G12" s="3" t="s">
        <v>173</v>
      </c>
      <c r="H12" s="3" t="s">
        <v>153</v>
      </c>
      <c r="I12" s="3" t="s">
        <v>154</v>
      </c>
      <c r="J12" s="3"/>
    </row>
    <row r="13" customFormat="false" ht="15" hidden="false" customHeight="false" outlineLevel="0" collapsed="false">
      <c r="A13" s="3" t="s">
        <v>174</v>
      </c>
      <c r="B13" s="3" t="s">
        <v>43</v>
      </c>
      <c r="C13" s="3" t="s">
        <v>175</v>
      </c>
      <c r="D13" s="8" t="n">
        <v>8</v>
      </c>
      <c r="E13" s="3"/>
      <c r="F13" s="3" t="s">
        <v>172</v>
      </c>
      <c r="G13" s="3" t="s">
        <v>176</v>
      </c>
      <c r="H13" s="3" t="s">
        <v>153</v>
      </c>
      <c r="I13" s="3" t="s">
        <v>154</v>
      </c>
      <c r="J13" s="3"/>
    </row>
    <row r="14" customFormat="false" ht="15" hidden="false" customHeight="false" outlineLevel="0" collapsed="false">
      <c r="A14" s="3" t="s">
        <v>177</v>
      </c>
      <c r="B14" s="3" t="s">
        <v>43</v>
      </c>
      <c r="C14" s="3" t="s">
        <v>178</v>
      </c>
      <c r="D14" s="8" t="n">
        <v>96</v>
      </c>
      <c r="E14" s="3"/>
      <c r="F14" s="3" t="s">
        <v>161</v>
      </c>
      <c r="G14" s="3"/>
      <c r="H14" s="3" t="s">
        <v>153</v>
      </c>
      <c r="I14" s="3" t="s">
        <v>154</v>
      </c>
      <c r="J14" s="3"/>
    </row>
    <row r="15" customFormat="false" ht="15" hidden="false" customHeight="false" outlineLevel="0" collapsed="false">
      <c r="A15" s="3" t="s">
        <v>179</v>
      </c>
      <c r="B15" s="3" t="s">
        <v>43</v>
      </c>
      <c r="C15" s="3" t="s">
        <v>180</v>
      </c>
      <c r="D15" s="8" t="n">
        <v>70</v>
      </c>
      <c r="E15" s="3"/>
      <c r="F15" s="3" t="s">
        <v>161</v>
      </c>
      <c r="G15" s="3"/>
      <c r="H15" s="3" t="s">
        <v>153</v>
      </c>
      <c r="I15" s="3" t="s">
        <v>154</v>
      </c>
      <c r="J15" s="3"/>
    </row>
    <row r="16" customFormat="false" ht="15" hidden="false" customHeight="false" outlineLevel="0" collapsed="false">
      <c r="A16" s="3" t="s">
        <v>181</v>
      </c>
      <c r="B16" s="3" t="s">
        <v>43</v>
      </c>
      <c r="C16" s="3" t="s">
        <v>182</v>
      </c>
      <c r="D16" s="8" t="n">
        <v>3.7</v>
      </c>
      <c r="E16" s="3"/>
      <c r="F16" s="3" t="s">
        <v>183</v>
      </c>
      <c r="G16" s="3" t="s">
        <v>184</v>
      </c>
      <c r="H16" s="3" t="s">
        <v>185</v>
      </c>
      <c r="I16" s="3" t="s">
        <v>154</v>
      </c>
      <c r="J16" s="3" t="s">
        <v>186</v>
      </c>
    </row>
    <row r="17" customFormat="false" ht="15" hidden="false" customHeight="false" outlineLevel="0" collapsed="false">
      <c r="A17" s="3" t="s">
        <v>187</v>
      </c>
      <c r="B17" s="3" t="s">
        <v>43</v>
      </c>
      <c r="C17" s="3" t="s">
        <v>188</v>
      </c>
      <c r="D17" s="8" t="n">
        <v>40</v>
      </c>
      <c r="E17" s="3"/>
      <c r="F17" s="3" t="s">
        <v>161</v>
      </c>
      <c r="G17" s="3"/>
      <c r="H17" s="3" t="s">
        <v>153</v>
      </c>
      <c r="I17" s="3" t="s">
        <v>154</v>
      </c>
      <c r="J17" s="3"/>
    </row>
    <row r="18" customFormat="false" ht="15" hidden="false" customHeight="false" outlineLevel="0" collapsed="false">
      <c r="A18" s="3" t="s">
        <v>189</v>
      </c>
      <c r="B18" s="3" t="s">
        <v>43</v>
      </c>
      <c r="C18" s="3" t="s">
        <v>190</v>
      </c>
      <c r="D18" s="8" t="n">
        <v>5000</v>
      </c>
      <c r="E18" s="3"/>
      <c r="F18" s="3" t="s">
        <v>151</v>
      </c>
      <c r="G18" s="3"/>
      <c r="H18" s="3" t="s">
        <v>191</v>
      </c>
      <c r="I18" s="3" t="s">
        <v>154</v>
      </c>
      <c r="J18" s="3"/>
    </row>
    <row r="19" customFormat="false" ht="15" hidden="false" customHeight="false" outlineLevel="0" collapsed="false">
      <c r="A19" s="3" t="s">
        <v>192</v>
      </c>
      <c r="B19" s="3" t="s">
        <v>51</v>
      </c>
      <c r="C19" s="3" t="s">
        <v>193</v>
      </c>
      <c r="D19" s="8" t="n">
        <v>88.7</v>
      </c>
      <c r="E19" s="3"/>
      <c r="F19" s="3" t="s">
        <v>161</v>
      </c>
      <c r="G19" s="3" t="s">
        <v>194</v>
      </c>
      <c r="H19" s="3" t="s">
        <v>153</v>
      </c>
      <c r="I19" s="3" t="s">
        <v>79</v>
      </c>
      <c r="J19" s="3" t="s">
        <v>195</v>
      </c>
    </row>
    <row r="20" customFormat="false" ht="15" hidden="false" customHeight="false" outlineLevel="0" collapsed="false">
      <c r="A20" s="3" t="s">
        <v>196</v>
      </c>
      <c r="B20" s="3" t="s">
        <v>51</v>
      </c>
      <c r="C20" s="3" t="s">
        <v>197</v>
      </c>
      <c r="D20" s="8" t="n">
        <v>23.2</v>
      </c>
      <c r="E20" s="3"/>
      <c r="F20" s="3" t="s">
        <v>161</v>
      </c>
      <c r="G20" s="3" t="s">
        <v>198</v>
      </c>
      <c r="H20" s="3" t="s">
        <v>153</v>
      </c>
      <c r="I20" s="3" t="s">
        <v>79</v>
      </c>
      <c r="J20" s="3"/>
    </row>
    <row r="21" customFormat="false" ht="15" hidden="false" customHeight="false" outlineLevel="0" collapsed="false">
      <c r="A21" s="3" t="s">
        <v>199</v>
      </c>
      <c r="B21" s="3" t="s">
        <v>51</v>
      </c>
      <c r="C21" s="3" t="s">
        <v>200</v>
      </c>
      <c r="D21" s="8" t="n">
        <v>71.3</v>
      </c>
      <c r="E21" s="3"/>
      <c r="F21" s="3" t="s">
        <v>161</v>
      </c>
      <c r="G21" s="3" t="s">
        <v>198</v>
      </c>
      <c r="H21" s="3" t="s">
        <v>153</v>
      </c>
      <c r="I21" s="3" t="s">
        <v>79</v>
      </c>
      <c r="J21" s="3"/>
    </row>
    <row r="22" customFormat="false" ht="15" hidden="false" customHeight="false" outlineLevel="0" collapsed="false">
      <c r="A22" s="3" t="s">
        <v>201</v>
      </c>
      <c r="B22" s="3" t="s">
        <v>51</v>
      </c>
      <c r="C22" s="3" t="s">
        <v>202</v>
      </c>
      <c r="D22" s="8" t="n">
        <v>5.3</v>
      </c>
      <c r="E22" s="3"/>
      <c r="F22" s="3" t="s">
        <v>128</v>
      </c>
      <c r="G22" s="3"/>
      <c r="H22" s="3" t="s">
        <v>203</v>
      </c>
      <c r="I22" s="3" t="s">
        <v>79</v>
      </c>
      <c r="J22" s="3"/>
    </row>
    <row r="23" customFormat="false" ht="15" hidden="false" customHeight="false" outlineLevel="0" collapsed="false">
      <c r="A23" s="3" t="s">
        <v>204</v>
      </c>
      <c r="B23" s="3" t="s">
        <v>51</v>
      </c>
      <c r="C23" s="3" t="s">
        <v>205</v>
      </c>
      <c r="D23" s="8" t="n">
        <v>3.1</v>
      </c>
      <c r="E23" s="3"/>
      <c r="F23" s="3" t="s">
        <v>128</v>
      </c>
      <c r="G23" s="3"/>
      <c r="H23" s="3" t="s">
        <v>206</v>
      </c>
      <c r="I23" s="3" t="s">
        <v>79</v>
      </c>
      <c r="J23" s="3"/>
    </row>
    <row r="24" customFormat="false" ht="15" hidden="false" customHeight="false" outlineLevel="0" collapsed="false">
      <c r="A24" s="3" t="s">
        <v>207</v>
      </c>
      <c r="B24" s="3" t="s">
        <v>51</v>
      </c>
      <c r="C24" s="3" t="s">
        <v>208</v>
      </c>
      <c r="D24" s="8" t="n">
        <v>1.7</v>
      </c>
      <c r="E24" s="3"/>
      <c r="F24" s="3" t="s">
        <v>128</v>
      </c>
      <c r="G24" s="3"/>
      <c r="H24" s="3" t="s">
        <v>206</v>
      </c>
      <c r="I24" s="3" t="s">
        <v>79</v>
      </c>
      <c r="J24" s="3"/>
    </row>
    <row r="25" customFormat="false" ht="23.85" hidden="false" customHeight="false" outlineLevel="0" collapsed="false">
      <c r="A25" s="3" t="s">
        <v>209</v>
      </c>
      <c r="B25" s="3" t="s">
        <v>51</v>
      </c>
      <c r="C25" s="3" t="s">
        <v>210</v>
      </c>
      <c r="D25" s="8" t="n">
        <v>1.4</v>
      </c>
      <c r="E25" s="8" t="n">
        <v>7.4</v>
      </c>
      <c r="F25" s="3" t="s">
        <v>128</v>
      </c>
      <c r="G25" s="3" t="s">
        <v>211</v>
      </c>
      <c r="H25" s="3" t="s">
        <v>212</v>
      </c>
      <c r="I25" s="3" t="s">
        <v>79</v>
      </c>
      <c r="J25" s="3"/>
    </row>
    <row r="26" customFormat="false" ht="15" hidden="false" customHeight="false" outlineLevel="0" collapsed="false">
      <c r="A26" s="3" t="s">
        <v>213</v>
      </c>
      <c r="B26" s="3" t="s">
        <v>51</v>
      </c>
      <c r="C26" s="3" t="s">
        <v>214</v>
      </c>
      <c r="D26" s="8" t="n">
        <v>60</v>
      </c>
      <c r="E26" s="8" t="n">
        <v>80</v>
      </c>
      <c r="F26" s="3" t="s">
        <v>161</v>
      </c>
      <c r="G26" s="3" t="s">
        <v>215</v>
      </c>
      <c r="H26" s="3" t="s">
        <v>216</v>
      </c>
      <c r="I26" s="3" t="s">
        <v>217</v>
      </c>
      <c r="J26" s="3"/>
    </row>
    <row r="27" customFormat="false" ht="15" hidden="false" customHeight="false" outlineLevel="0" collapsed="false">
      <c r="A27" s="3" t="s">
        <v>218</v>
      </c>
      <c r="B27" s="3" t="s">
        <v>51</v>
      </c>
      <c r="C27" s="3" t="s">
        <v>219</v>
      </c>
      <c r="D27" s="8" t="n">
        <v>80.4</v>
      </c>
      <c r="E27" s="3"/>
      <c r="F27" s="3" t="s">
        <v>161</v>
      </c>
      <c r="G27" s="3" t="s">
        <v>220</v>
      </c>
      <c r="H27" s="3" t="s">
        <v>221</v>
      </c>
      <c r="I27" s="3" t="s">
        <v>217</v>
      </c>
      <c r="J27" s="3"/>
    </row>
    <row r="28" customFormat="false" ht="15" hidden="false" customHeight="false" outlineLevel="0" collapsed="false">
      <c r="A28" s="3" t="s">
        <v>222</v>
      </c>
      <c r="B28" s="3" t="s">
        <v>51</v>
      </c>
      <c r="C28" s="3" t="s">
        <v>223</v>
      </c>
      <c r="D28" s="8" t="n">
        <v>77.3</v>
      </c>
      <c r="E28" s="3"/>
      <c r="F28" s="3" t="s">
        <v>161</v>
      </c>
      <c r="G28" s="3"/>
      <c r="H28" s="3" t="s">
        <v>221</v>
      </c>
      <c r="I28" s="3" t="s">
        <v>217</v>
      </c>
      <c r="J28" s="3"/>
    </row>
    <row r="29" customFormat="false" ht="15" hidden="false" customHeight="false" outlineLevel="0" collapsed="false">
      <c r="A29" s="3" t="s">
        <v>224</v>
      </c>
      <c r="B29" s="3" t="s">
        <v>51</v>
      </c>
      <c r="C29" s="3" t="s">
        <v>225</v>
      </c>
      <c r="D29" s="8" t="n">
        <v>73.8</v>
      </c>
      <c r="E29" s="3"/>
      <c r="F29" s="3" t="s">
        <v>161</v>
      </c>
      <c r="G29" s="3"/>
      <c r="H29" s="3" t="s">
        <v>221</v>
      </c>
      <c r="I29" s="3" t="s">
        <v>217</v>
      </c>
      <c r="J29" s="3"/>
    </row>
    <row r="30" customFormat="false" ht="15" hidden="false" customHeight="false" outlineLevel="0" collapsed="false">
      <c r="A30" s="3" t="s">
        <v>226</v>
      </c>
      <c r="B30" s="3" t="s">
        <v>51</v>
      </c>
      <c r="C30" s="3" t="s">
        <v>227</v>
      </c>
      <c r="D30" s="8" t="n">
        <v>64.3</v>
      </c>
      <c r="E30" s="3"/>
      <c r="F30" s="3" t="s">
        <v>161</v>
      </c>
      <c r="G30" s="3" t="s">
        <v>228</v>
      </c>
      <c r="H30" s="3" t="s">
        <v>221</v>
      </c>
      <c r="I30" s="3" t="s">
        <v>217</v>
      </c>
      <c r="J30" s="3"/>
    </row>
    <row r="31" customFormat="false" ht="15" hidden="false" customHeight="false" outlineLevel="0" collapsed="false">
      <c r="A31" s="3" t="s">
        <v>229</v>
      </c>
      <c r="B31" s="3" t="s">
        <v>51</v>
      </c>
      <c r="C31" s="3" t="s">
        <v>230</v>
      </c>
      <c r="D31" s="8" t="n">
        <v>61.8</v>
      </c>
      <c r="E31" s="3"/>
      <c r="F31" s="3" t="s">
        <v>161</v>
      </c>
      <c r="G31" s="3"/>
      <c r="H31" s="3" t="s">
        <v>221</v>
      </c>
      <c r="I31" s="3" t="s">
        <v>217</v>
      </c>
      <c r="J31" s="3"/>
    </row>
    <row r="32" customFormat="false" ht="15" hidden="false" customHeight="false" outlineLevel="0" collapsed="false">
      <c r="A32" s="3" t="s">
        <v>231</v>
      </c>
      <c r="B32" s="3" t="s">
        <v>51</v>
      </c>
      <c r="C32" s="3" t="s">
        <v>232</v>
      </c>
      <c r="D32" s="8" t="n">
        <v>59</v>
      </c>
      <c r="E32" s="3"/>
      <c r="F32" s="3" t="s">
        <v>161</v>
      </c>
      <c r="G32" s="3"/>
      <c r="H32" s="3" t="s">
        <v>221</v>
      </c>
      <c r="I32" s="3" t="s">
        <v>217</v>
      </c>
      <c r="J32" s="3"/>
    </row>
    <row r="33" customFormat="false" ht="23.85" hidden="false" customHeight="false" outlineLevel="0" collapsed="false">
      <c r="A33" s="3" t="s">
        <v>233</v>
      </c>
      <c r="B33" s="3" t="s">
        <v>51</v>
      </c>
      <c r="C33" s="3" t="s">
        <v>234</v>
      </c>
      <c r="D33" s="8" t="n">
        <v>10</v>
      </c>
      <c r="E33" s="8" t="n">
        <v>15</v>
      </c>
      <c r="F33" s="3" t="s">
        <v>161</v>
      </c>
      <c r="G33" s="3" t="s">
        <v>235</v>
      </c>
      <c r="H33" s="3" t="s">
        <v>236</v>
      </c>
      <c r="I33" s="3" t="s">
        <v>237</v>
      </c>
      <c r="J33" s="3"/>
    </row>
    <row r="34" customFormat="false" ht="23.85" hidden="false" customHeight="false" outlineLevel="0" collapsed="false">
      <c r="A34" s="3" t="s">
        <v>238</v>
      </c>
      <c r="B34" s="3" t="s">
        <v>58</v>
      </c>
      <c r="C34" s="3" t="s">
        <v>239</v>
      </c>
      <c r="D34" s="8" t="n">
        <v>0</v>
      </c>
      <c r="E34" s="3"/>
      <c r="F34" s="3" t="s">
        <v>161</v>
      </c>
      <c r="G34" s="3"/>
      <c r="H34" s="3" t="s">
        <v>153</v>
      </c>
      <c r="I34" s="3" t="s">
        <v>240</v>
      </c>
      <c r="J34" s="3" t="s">
        <v>241</v>
      </c>
    </row>
    <row r="35" customFormat="false" ht="23.85" hidden="false" customHeight="false" outlineLevel="0" collapsed="false">
      <c r="A35" s="3" t="s">
        <v>242</v>
      </c>
      <c r="B35" s="3" t="s">
        <v>58</v>
      </c>
      <c r="C35" s="3" t="s">
        <v>243</v>
      </c>
      <c r="D35" s="8" t="n">
        <v>480</v>
      </c>
      <c r="E35" s="3"/>
      <c r="F35" s="3" t="s">
        <v>244</v>
      </c>
      <c r="G35" s="3"/>
      <c r="H35" s="3" t="s">
        <v>153</v>
      </c>
      <c r="I35" s="3" t="s">
        <v>240</v>
      </c>
      <c r="J35" s="3" t="s">
        <v>241</v>
      </c>
    </row>
    <row r="36" customFormat="false" ht="23.85" hidden="false" customHeight="false" outlineLevel="0" collapsed="false">
      <c r="A36" s="3" t="s">
        <v>245</v>
      </c>
      <c r="B36" s="3" t="s">
        <v>58</v>
      </c>
      <c r="C36" s="3" t="s">
        <v>246</v>
      </c>
      <c r="D36" s="8" t="n">
        <v>38</v>
      </c>
      <c r="E36" s="3"/>
      <c r="F36" s="3" t="s">
        <v>244</v>
      </c>
      <c r="G36" s="3"/>
      <c r="H36" s="3" t="s">
        <v>153</v>
      </c>
      <c r="I36" s="3" t="s">
        <v>240</v>
      </c>
      <c r="J36" s="3" t="s">
        <v>241</v>
      </c>
    </row>
    <row r="37" customFormat="false" ht="23.85" hidden="false" customHeight="false" outlineLevel="0" collapsed="false">
      <c r="A37" s="3" t="s">
        <v>247</v>
      </c>
      <c r="B37" s="3" t="s">
        <v>58</v>
      </c>
      <c r="C37" s="3" t="s">
        <v>248</v>
      </c>
      <c r="D37" s="8" t="n">
        <v>142</v>
      </c>
      <c r="E37" s="3"/>
      <c r="F37" s="3" t="s">
        <v>139</v>
      </c>
      <c r="G37" s="3"/>
      <c r="H37" s="3" t="s">
        <v>153</v>
      </c>
      <c r="I37" s="3" t="s">
        <v>240</v>
      </c>
      <c r="J37" s="3" t="s">
        <v>241</v>
      </c>
    </row>
    <row r="38" customFormat="false" ht="23.85" hidden="false" customHeight="false" outlineLevel="0" collapsed="false">
      <c r="A38" s="3" t="s">
        <v>249</v>
      </c>
      <c r="B38" s="3" t="s">
        <v>58</v>
      </c>
      <c r="C38" s="3" t="s">
        <v>250</v>
      </c>
      <c r="D38" s="8" t="n">
        <v>67</v>
      </c>
      <c r="E38" s="3"/>
      <c r="F38" s="3" t="s">
        <v>139</v>
      </c>
      <c r="G38" s="3"/>
      <c r="H38" s="3" t="s">
        <v>153</v>
      </c>
      <c r="I38" s="3" t="s">
        <v>240</v>
      </c>
      <c r="J38" s="3" t="s">
        <v>241</v>
      </c>
    </row>
    <row r="39" customFormat="false" ht="23.85" hidden="false" customHeight="false" outlineLevel="0" collapsed="false">
      <c r="A39" s="3" t="s">
        <v>251</v>
      </c>
      <c r="B39" s="3" t="s">
        <v>58</v>
      </c>
      <c r="C39" s="3" t="s">
        <v>252</v>
      </c>
      <c r="D39" s="8" t="n">
        <v>93.8</v>
      </c>
      <c r="E39" s="3"/>
      <c r="F39" s="3" t="s">
        <v>161</v>
      </c>
      <c r="G39" s="3"/>
      <c r="H39" s="3" t="s">
        <v>153</v>
      </c>
      <c r="I39" s="3" t="s">
        <v>240</v>
      </c>
      <c r="J39" s="3" t="s">
        <v>241</v>
      </c>
    </row>
    <row r="40" customFormat="false" ht="23.85" hidden="false" customHeight="false" outlineLevel="0" collapsed="false">
      <c r="A40" s="3" t="s">
        <v>253</v>
      </c>
      <c r="B40" s="3" t="s">
        <v>58</v>
      </c>
      <c r="C40" s="3" t="s">
        <v>254</v>
      </c>
      <c r="D40" s="8" t="n">
        <v>92.6</v>
      </c>
      <c r="E40" s="3"/>
      <c r="F40" s="3" t="s">
        <v>161</v>
      </c>
      <c r="G40" s="3"/>
      <c r="H40" s="3" t="s">
        <v>153</v>
      </c>
      <c r="I40" s="3" t="s">
        <v>240</v>
      </c>
      <c r="J40" s="3" t="s">
        <v>241</v>
      </c>
    </row>
    <row r="41" customFormat="false" ht="23.85" hidden="false" customHeight="false" outlineLevel="0" collapsed="false">
      <c r="A41" s="3" t="s">
        <v>255</v>
      </c>
      <c r="B41" s="3" t="s">
        <v>64</v>
      </c>
      <c r="C41" s="3" t="s">
        <v>256</v>
      </c>
      <c r="D41" s="8" t="n">
        <v>4</v>
      </c>
      <c r="E41" s="8" t="n">
        <v>8</v>
      </c>
      <c r="F41" s="3" t="s">
        <v>128</v>
      </c>
      <c r="G41" s="3" t="s">
        <v>257</v>
      </c>
      <c r="H41" s="3" t="s">
        <v>258</v>
      </c>
      <c r="I41" s="3" t="s">
        <v>259</v>
      </c>
      <c r="J41" s="3"/>
    </row>
    <row r="42" customFormat="false" ht="15" hidden="false" customHeight="false" outlineLevel="0" collapsed="false">
      <c r="A42" s="3" t="s">
        <v>260</v>
      </c>
      <c r="B42" s="3" t="s">
        <v>64</v>
      </c>
      <c r="C42" s="3" t="s">
        <v>261</v>
      </c>
      <c r="D42" s="8" t="n">
        <v>14</v>
      </c>
      <c r="E42" s="8" t="n">
        <v>140</v>
      </c>
      <c r="F42" s="3" t="s">
        <v>262</v>
      </c>
      <c r="G42" s="3"/>
      <c r="H42" s="3" t="s">
        <v>258</v>
      </c>
      <c r="I42" s="3" t="s">
        <v>259</v>
      </c>
      <c r="J42" s="3"/>
    </row>
    <row r="43" customFormat="false" ht="15" hidden="false" customHeight="false" outlineLevel="0" collapsed="false">
      <c r="A43" s="3" t="s">
        <v>263</v>
      </c>
      <c r="B43" s="3" t="s">
        <v>64</v>
      </c>
      <c r="C43" s="3" t="s">
        <v>264</v>
      </c>
      <c r="D43" s="8" t="n">
        <v>10</v>
      </c>
      <c r="E43" s="8" t="n">
        <v>1000</v>
      </c>
      <c r="F43" s="3" t="s">
        <v>139</v>
      </c>
      <c r="G43" s="3"/>
      <c r="H43" s="3" t="s">
        <v>265</v>
      </c>
      <c r="I43" s="3" t="s">
        <v>259</v>
      </c>
      <c r="J43" s="3"/>
    </row>
    <row r="44" customFormat="false" ht="23.85" hidden="false" customHeight="false" outlineLevel="0" collapsed="false">
      <c r="A44" s="3" t="s">
        <v>266</v>
      </c>
      <c r="B44" s="3" t="s">
        <v>64</v>
      </c>
      <c r="C44" s="3" t="s">
        <v>267</v>
      </c>
      <c r="D44" s="8" t="n">
        <v>200</v>
      </c>
      <c r="E44" s="3"/>
      <c r="F44" s="3" t="s">
        <v>139</v>
      </c>
      <c r="G44" s="3"/>
      <c r="H44" s="3" t="s">
        <v>265</v>
      </c>
      <c r="I44" s="3" t="s">
        <v>259</v>
      </c>
      <c r="J44" s="3" t="s">
        <v>268</v>
      </c>
    </row>
    <row r="45" customFormat="false" ht="15" hidden="false" customHeight="false" outlineLevel="0" collapsed="false">
      <c r="A45" s="3" t="s">
        <v>269</v>
      </c>
      <c r="B45" s="3" t="s">
        <v>64</v>
      </c>
      <c r="C45" s="3" t="s">
        <v>270</v>
      </c>
      <c r="D45" s="8" t="n">
        <v>1</v>
      </c>
      <c r="E45" s="8" t="n">
        <v>3</v>
      </c>
      <c r="F45" s="3" t="s">
        <v>172</v>
      </c>
      <c r="G45" s="3" t="s">
        <v>271</v>
      </c>
      <c r="H45" s="3" t="s">
        <v>258</v>
      </c>
      <c r="I45" s="3" t="s">
        <v>259</v>
      </c>
      <c r="J45" s="3"/>
    </row>
    <row r="46" customFormat="false" ht="15" hidden="false" customHeight="false" outlineLevel="0" collapsed="false">
      <c r="A46" s="3" t="s">
        <v>272</v>
      </c>
      <c r="B46" s="3" t="s">
        <v>64</v>
      </c>
      <c r="C46" s="3" t="s">
        <v>273</v>
      </c>
      <c r="D46" s="8" t="n">
        <v>82.4</v>
      </c>
      <c r="E46" s="3"/>
      <c r="F46" s="3" t="s">
        <v>161</v>
      </c>
      <c r="G46" s="3" t="s">
        <v>274</v>
      </c>
      <c r="H46" s="3" t="s">
        <v>275</v>
      </c>
      <c r="I46" s="3" t="s">
        <v>259</v>
      </c>
      <c r="J46" s="3"/>
    </row>
    <row r="47" customFormat="false" ht="15" hidden="false" customHeight="false" outlineLevel="0" collapsed="false">
      <c r="A47" s="3" t="s">
        <v>276</v>
      </c>
      <c r="B47" s="3" t="s">
        <v>64</v>
      </c>
      <c r="C47" s="3" t="s">
        <v>277</v>
      </c>
      <c r="D47" s="8" t="n">
        <v>52.9</v>
      </c>
      <c r="E47" s="3"/>
      <c r="F47" s="3" t="s">
        <v>161</v>
      </c>
      <c r="G47" s="3" t="s">
        <v>274</v>
      </c>
      <c r="H47" s="3" t="s">
        <v>275</v>
      </c>
      <c r="I47" s="3" t="s">
        <v>259</v>
      </c>
      <c r="J47" s="3"/>
    </row>
    <row r="48" customFormat="false" ht="15" hidden="false" customHeight="false" outlineLevel="0" collapsed="false">
      <c r="A48" s="3" t="s">
        <v>278</v>
      </c>
      <c r="B48" s="3" t="s">
        <v>64</v>
      </c>
      <c r="C48" s="3" t="s">
        <v>279</v>
      </c>
      <c r="D48" s="8" t="n">
        <v>41.2</v>
      </c>
      <c r="E48" s="3"/>
      <c r="F48" s="3" t="s">
        <v>161</v>
      </c>
      <c r="G48" s="3" t="s">
        <v>274</v>
      </c>
      <c r="H48" s="3" t="s">
        <v>275</v>
      </c>
      <c r="I48" s="3" t="s">
        <v>259</v>
      </c>
      <c r="J48" s="3"/>
    </row>
    <row r="49" customFormat="false" ht="15" hidden="false" customHeight="false" outlineLevel="0" collapsed="false">
      <c r="A49" s="3" t="s">
        <v>280</v>
      </c>
      <c r="B49" s="3" t="s">
        <v>71</v>
      </c>
      <c r="C49" s="3" t="s">
        <v>281</v>
      </c>
      <c r="D49" s="8" t="n">
        <v>70</v>
      </c>
      <c r="E49" s="3"/>
      <c r="F49" s="3" t="s">
        <v>282</v>
      </c>
      <c r="G49" s="3" t="s">
        <v>283</v>
      </c>
      <c r="H49" s="3" t="s">
        <v>153</v>
      </c>
      <c r="I49" s="3" t="s">
        <v>284</v>
      </c>
      <c r="J49" s="3"/>
    </row>
    <row r="50" customFormat="false" ht="15" hidden="false" customHeight="false" outlineLevel="0" collapsed="false">
      <c r="A50" s="3" t="s">
        <v>285</v>
      </c>
      <c r="B50" s="3" t="s">
        <v>71</v>
      </c>
      <c r="C50" s="3" t="s">
        <v>286</v>
      </c>
      <c r="D50" s="8" t="n">
        <v>3</v>
      </c>
      <c r="E50" s="3"/>
      <c r="F50" s="3" t="s">
        <v>287</v>
      </c>
      <c r="G50" s="3" t="s">
        <v>288</v>
      </c>
      <c r="H50" s="3" t="s">
        <v>289</v>
      </c>
      <c r="I50" s="3" t="s">
        <v>284</v>
      </c>
      <c r="J50" s="3"/>
    </row>
    <row r="51" customFormat="false" ht="15" hidden="false" customHeight="false" outlineLevel="0" collapsed="false">
      <c r="A51" s="3" t="s">
        <v>290</v>
      </c>
      <c r="B51" s="3" t="s">
        <v>71</v>
      </c>
      <c r="C51" s="3" t="s">
        <v>291</v>
      </c>
      <c r="D51" s="8" t="n">
        <v>3</v>
      </c>
      <c r="E51" s="3"/>
      <c r="F51" s="3" t="s">
        <v>292</v>
      </c>
      <c r="G51" s="3" t="s">
        <v>293</v>
      </c>
      <c r="H51" s="3" t="s">
        <v>294</v>
      </c>
      <c r="I51" s="3" t="s">
        <v>284</v>
      </c>
      <c r="J51" s="3"/>
    </row>
    <row r="52" customFormat="false" ht="15" hidden="false" customHeight="false" outlineLevel="0" collapsed="false">
      <c r="A52" s="3" t="s">
        <v>295</v>
      </c>
      <c r="B52" s="3" t="s">
        <v>76</v>
      </c>
      <c r="C52" s="3" t="s">
        <v>296</v>
      </c>
      <c r="D52" s="8" t="n">
        <v>62.58</v>
      </c>
      <c r="E52" s="3"/>
      <c r="F52" s="3" t="s">
        <v>161</v>
      </c>
      <c r="G52" s="3" t="s">
        <v>297</v>
      </c>
      <c r="H52" s="3" t="s">
        <v>298</v>
      </c>
      <c r="I52" s="3" t="s">
        <v>79</v>
      </c>
      <c r="J52" s="3"/>
    </row>
    <row r="53" customFormat="false" ht="15" hidden="false" customHeight="false" outlineLevel="0" collapsed="false">
      <c r="A53" s="3" t="s">
        <v>299</v>
      </c>
      <c r="B53" s="3" t="s">
        <v>76</v>
      </c>
      <c r="C53" s="3" t="s">
        <v>300</v>
      </c>
      <c r="D53" s="8" t="n">
        <v>0.45</v>
      </c>
      <c r="E53" s="3"/>
      <c r="F53" s="3" t="s">
        <v>301</v>
      </c>
      <c r="G53" s="3"/>
      <c r="H53" s="3" t="s">
        <v>302</v>
      </c>
      <c r="I53" s="3" t="s">
        <v>79</v>
      </c>
      <c r="J53" s="3"/>
    </row>
    <row r="54" customFormat="false" ht="15" hidden="false" customHeight="false" outlineLevel="0" collapsed="false">
      <c r="A54" s="3" t="s">
        <v>303</v>
      </c>
      <c r="B54" s="3" t="s">
        <v>76</v>
      </c>
      <c r="C54" s="3" t="s">
        <v>304</v>
      </c>
      <c r="D54" s="8" t="n">
        <v>95</v>
      </c>
      <c r="E54" s="3"/>
      <c r="F54" s="3" t="s">
        <v>161</v>
      </c>
      <c r="G54" s="3" t="s">
        <v>305</v>
      </c>
      <c r="H54" s="3" t="s">
        <v>298</v>
      </c>
      <c r="I54" s="3" t="s">
        <v>79</v>
      </c>
      <c r="J54" s="3"/>
    </row>
    <row r="55" customFormat="false" ht="15" hidden="false" customHeight="false" outlineLevel="0" collapsed="false">
      <c r="A55" s="3" t="s">
        <v>306</v>
      </c>
      <c r="B55" s="3" t="s">
        <v>76</v>
      </c>
      <c r="C55" s="3" t="s">
        <v>307</v>
      </c>
      <c r="D55" s="8" t="n">
        <v>0.607</v>
      </c>
      <c r="E55" s="3"/>
      <c r="F55" s="3" t="s">
        <v>308</v>
      </c>
      <c r="G55" s="3" t="s">
        <v>309</v>
      </c>
      <c r="H55" s="3" t="s">
        <v>302</v>
      </c>
      <c r="I55" s="3" t="s">
        <v>79</v>
      </c>
      <c r="J55" s="3"/>
    </row>
    <row r="56" customFormat="false" ht="15" hidden="false" customHeight="false" outlineLevel="0" collapsed="false">
      <c r="A56" s="3" t="s">
        <v>310</v>
      </c>
      <c r="B56" s="3" t="s">
        <v>76</v>
      </c>
      <c r="C56" s="3" t="s">
        <v>311</v>
      </c>
      <c r="D56" s="8" t="n">
        <v>35.5</v>
      </c>
      <c r="E56" s="3"/>
      <c r="F56" s="3" t="s">
        <v>161</v>
      </c>
      <c r="G56" s="3" t="s">
        <v>312</v>
      </c>
      <c r="H56" s="3" t="s">
        <v>298</v>
      </c>
      <c r="I56" s="3" t="s">
        <v>79</v>
      </c>
      <c r="J56" s="3"/>
    </row>
    <row r="57" customFormat="false" ht="15" hidden="false" customHeight="false" outlineLevel="0" collapsed="false">
      <c r="A57" s="3" t="s">
        <v>313</v>
      </c>
      <c r="B57" s="3" t="s">
        <v>76</v>
      </c>
      <c r="C57" s="3" t="s">
        <v>314</v>
      </c>
      <c r="D57" s="8" t="n">
        <v>83.52</v>
      </c>
      <c r="E57" s="3"/>
      <c r="F57" s="3" t="s">
        <v>161</v>
      </c>
      <c r="G57" s="3"/>
      <c r="H57" s="3" t="s">
        <v>298</v>
      </c>
      <c r="I57" s="3" t="s">
        <v>79</v>
      </c>
      <c r="J57" s="3"/>
    </row>
    <row r="58" customFormat="false" ht="15" hidden="false" customHeight="false" outlineLevel="0" collapsed="false">
      <c r="A58" s="3" t="s">
        <v>315</v>
      </c>
      <c r="B58" s="3" t="s">
        <v>76</v>
      </c>
      <c r="C58" s="3" t="s">
        <v>316</v>
      </c>
      <c r="D58" s="8" t="n">
        <v>100</v>
      </c>
      <c r="E58" s="3"/>
      <c r="F58" s="3" t="s">
        <v>161</v>
      </c>
      <c r="G58" s="3"/>
      <c r="H58" s="3" t="s">
        <v>317</v>
      </c>
      <c r="I58" s="3" t="s">
        <v>79</v>
      </c>
      <c r="J58" s="3"/>
    </row>
    <row r="59" customFormat="false" ht="15" hidden="false" customHeight="false" outlineLevel="0" collapsed="false">
      <c r="A59" s="3" t="s">
        <v>318</v>
      </c>
      <c r="B59" s="3" t="s">
        <v>76</v>
      </c>
      <c r="C59" s="3" t="s">
        <v>319</v>
      </c>
      <c r="D59" s="8" t="n">
        <v>3742</v>
      </c>
      <c r="E59" s="3"/>
      <c r="F59" s="3" t="s">
        <v>320</v>
      </c>
      <c r="G59" s="3" t="s">
        <v>321</v>
      </c>
      <c r="H59" s="3" t="s">
        <v>317</v>
      </c>
      <c r="I59" s="3" t="s">
        <v>79</v>
      </c>
      <c r="J59" s="3"/>
    </row>
    <row r="60" customFormat="false" ht="15" hidden="false" customHeight="false" outlineLevel="0" collapsed="false">
      <c r="A60" s="3" t="s">
        <v>322</v>
      </c>
      <c r="B60" s="3" t="s">
        <v>76</v>
      </c>
      <c r="C60" s="3" t="s">
        <v>323</v>
      </c>
      <c r="D60" s="8" t="n">
        <v>500</v>
      </c>
      <c r="E60" s="3"/>
      <c r="F60" s="3" t="s">
        <v>320</v>
      </c>
      <c r="G60" s="3" t="s">
        <v>321</v>
      </c>
      <c r="H60" s="3" t="s">
        <v>317</v>
      </c>
      <c r="I60" s="3" t="s">
        <v>79</v>
      </c>
      <c r="J60" s="3"/>
    </row>
    <row r="61" customFormat="false" ht="15" hidden="false" customHeight="false" outlineLevel="0" collapsed="false">
      <c r="A61" s="3" t="s">
        <v>324</v>
      </c>
      <c r="B61" s="3" t="s">
        <v>76</v>
      </c>
      <c r="C61" s="3" t="s">
        <v>325</v>
      </c>
      <c r="D61" s="8" t="n">
        <v>1648</v>
      </c>
      <c r="E61" s="3"/>
      <c r="F61" s="3" t="s">
        <v>320</v>
      </c>
      <c r="G61" s="3" t="s">
        <v>326</v>
      </c>
      <c r="H61" s="3" t="s">
        <v>317</v>
      </c>
      <c r="I61" s="3" t="s">
        <v>79</v>
      </c>
      <c r="J61" s="3"/>
    </row>
    <row r="62" customFormat="false" ht="15" hidden="false" customHeight="false" outlineLevel="0" collapsed="false">
      <c r="A62" s="3" t="s">
        <v>327</v>
      </c>
      <c r="B62" s="3" t="s">
        <v>76</v>
      </c>
      <c r="C62" s="3" t="s">
        <v>328</v>
      </c>
      <c r="D62" s="8" t="n">
        <v>14</v>
      </c>
      <c r="E62" s="8" t="n">
        <v>49</v>
      </c>
      <c r="F62" s="3" t="s">
        <v>161</v>
      </c>
      <c r="G62" s="3"/>
      <c r="H62" s="3" t="s">
        <v>302</v>
      </c>
      <c r="I62" s="3" t="s">
        <v>79</v>
      </c>
      <c r="J62" s="3"/>
    </row>
    <row r="63" customFormat="false" ht="15" hidden="false" customHeight="false" outlineLevel="0" collapsed="false">
      <c r="A63" s="3" t="s">
        <v>329</v>
      </c>
      <c r="B63" s="3" t="s">
        <v>76</v>
      </c>
      <c r="C63" s="3" t="s">
        <v>330</v>
      </c>
      <c r="D63" s="8" t="n">
        <v>63.86</v>
      </c>
      <c r="E63" s="3"/>
      <c r="F63" s="3" t="s">
        <v>161</v>
      </c>
      <c r="G63" s="3"/>
      <c r="H63" s="3" t="s">
        <v>331</v>
      </c>
      <c r="I63" s="3" t="s">
        <v>79</v>
      </c>
      <c r="J63" s="3"/>
    </row>
    <row r="64" customFormat="false" ht="15" hidden="false" customHeight="false" outlineLevel="0" collapsed="false">
      <c r="A64" s="3" t="s">
        <v>332</v>
      </c>
      <c r="B64" s="3" t="s">
        <v>76</v>
      </c>
      <c r="C64" s="3" t="s">
        <v>333</v>
      </c>
      <c r="D64" s="8" t="n">
        <v>0.23</v>
      </c>
      <c r="E64" s="3"/>
      <c r="F64" s="3" t="s">
        <v>301</v>
      </c>
      <c r="G64" s="3"/>
      <c r="H64" s="3" t="s">
        <v>331</v>
      </c>
      <c r="I64" s="3" t="s">
        <v>79</v>
      </c>
      <c r="J64" s="3"/>
    </row>
    <row r="65" customFormat="false" ht="15" hidden="false" customHeight="false" outlineLevel="0" collapsed="false">
      <c r="A65" s="3" t="s">
        <v>334</v>
      </c>
      <c r="B65" s="3" t="s">
        <v>76</v>
      </c>
      <c r="C65" s="3" t="s">
        <v>335</v>
      </c>
      <c r="D65" s="8" t="n">
        <v>91.2</v>
      </c>
      <c r="E65" s="3"/>
      <c r="F65" s="3" t="s">
        <v>161</v>
      </c>
      <c r="G65" s="3" t="s">
        <v>336</v>
      </c>
      <c r="H65" s="3" t="s">
        <v>337</v>
      </c>
      <c r="I65" s="3" t="s">
        <v>79</v>
      </c>
      <c r="J65" s="3" t="s">
        <v>338</v>
      </c>
    </row>
    <row r="66" customFormat="false" ht="15" hidden="false" customHeight="false" outlineLevel="0" collapsed="false">
      <c r="A66" s="3" t="s">
        <v>339</v>
      </c>
      <c r="B66" s="3" t="s">
        <v>76</v>
      </c>
      <c r="C66" s="3" t="s">
        <v>340</v>
      </c>
      <c r="D66" s="8" t="n">
        <v>55.67</v>
      </c>
      <c r="E66" s="3"/>
      <c r="F66" s="3" t="s">
        <v>161</v>
      </c>
      <c r="G66" s="3"/>
      <c r="H66" s="3" t="s">
        <v>331</v>
      </c>
      <c r="I66" s="3" t="s">
        <v>79</v>
      </c>
      <c r="J66" s="3"/>
    </row>
    <row r="67" customFormat="false" ht="23.85" hidden="false" customHeight="false" outlineLevel="0" collapsed="false">
      <c r="A67" s="3" t="s">
        <v>341</v>
      </c>
      <c r="B67" s="3" t="s">
        <v>76</v>
      </c>
      <c r="C67" s="3" t="s">
        <v>342</v>
      </c>
      <c r="D67" s="8" t="n">
        <v>50</v>
      </c>
      <c r="E67" s="8" t="n">
        <v>60</v>
      </c>
      <c r="F67" s="3" t="s">
        <v>161</v>
      </c>
      <c r="G67" s="3"/>
      <c r="H67" s="3" t="s">
        <v>331</v>
      </c>
      <c r="I67" s="3" t="s">
        <v>79</v>
      </c>
      <c r="J67" s="3" t="s">
        <v>343</v>
      </c>
    </row>
    <row r="68" customFormat="false" ht="15" hidden="false" customHeight="false" outlineLevel="0" collapsed="false">
      <c r="A68" s="3" t="s">
        <v>344</v>
      </c>
      <c r="B68" s="3" t="s">
        <v>76</v>
      </c>
      <c r="C68" s="3" t="s">
        <v>345</v>
      </c>
      <c r="D68" s="8" t="n">
        <v>3521</v>
      </c>
      <c r="E68" s="3"/>
      <c r="F68" s="3" t="s">
        <v>320</v>
      </c>
      <c r="G68" s="3"/>
      <c r="H68" s="3" t="s">
        <v>331</v>
      </c>
      <c r="I68" s="3" t="s">
        <v>79</v>
      </c>
      <c r="J68" s="3"/>
    </row>
    <row r="69" customFormat="false" ht="15" hidden="false" customHeight="false" outlineLevel="0" collapsed="false">
      <c r="A69" s="3" t="s">
        <v>346</v>
      </c>
      <c r="B69" s="3" t="s">
        <v>76</v>
      </c>
      <c r="C69" s="3" t="s">
        <v>347</v>
      </c>
      <c r="D69" s="8" t="n">
        <v>88</v>
      </c>
      <c r="E69" s="3"/>
      <c r="F69" s="3" t="s">
        <v>320</v>
      </c>
      <c r="G69" s="3" t="s">
        <v>348</v>
      </c>
      <c r="H69" s="3" t="s">
        <v>331</v>
      </c>
      <c r="I69" s="3" t="s">
        <v>79</v>
      </c>
      <c r="J69" s="3"/>
    </row>
    <row r="70" customFormat="false" ht="15" hidden="false" customHeight="false" outlineLevel="0" collapsed="false">
      <c r="A70" s="3" t="s">
        <v>349</v>
      </c>
      <c r="B70" s="3" t="s">
        <v>76</v>
      </c>
      <c r="C70" s="3" t="s">
        <v>350</v>
      </c>
      <c r="D70" s="8" t="n">
        <v>0.99</v>
      </c>
      <c r="E70" s="3"/>
      <c r="F70" s="3" t="s">
        <v>139</v>
      </c>
      <c r="G70" s="3"/>
      <c r="H70" s="3" t="s">
        <v>351</v>
      </c>
      <c r="I70" s="3" t="s">
        <v>79</v>
      </c>
      <c r="J70" s="3"/>
    </row>
    <row r="71" customFormat="false" ht="15" hidden="false" customHeight="false" outlineLevel="0" collapsed="false">
      <c r="A71" s="3" t="s">
        <v>352</v>
      </c>
      <c r="B71" s="3" t="s">
        <v>76</v>
      </c>
      <c r="C71" s="3" t="s">
        <v>353</v>
      </c>
      <c r="D71" s="8" t="n">
        <v>74.34</v>
      </c>
      <c r="E71" s="3"/>
      <c r="F71" s="3" t="s">
        <v>139</v>
      </c>
      <c r="G71" s="3" t="s">
        <v>354</v>
      </c>
      <c r="H71" s="3" t="s">
        <v>351</v>
      </c>
      <c r="I71" s="3" t="s">
        <v>79</v>
      </c>
      <c r="J71" s="3"/>
    </row>
    <row r="72" customFormat="false" ht="15" hidden="false" customHeight="false" outlineLevel="0" collapsed="false">
      <c r="A72" s="3" t="s">
        <v>355</v>
      </c>
      <c r="B72" s="3" t="s">
        <v>76</v>
      </c>
      <c r="C72" s="3" t="s">
        <v>356</v>
      </c>
      <c r="D72" s="8" t="n">
        <v>63.15</v>
      </c>
      <c r="E72" s="3"/>
      <c r="F72" s="3" t="s">
        <v>161</v>
      </c>
      <c r="G72" s="3" t="s">
        <v>357</v>
      </c>
      <c r="H72" s="3" t="s">
        <v>351</v>
      </c>
      <c r="I72" s="3" t="s">
        <v>79</v>
      </c>
      <c r="J72" s="3"/>
    </row>
    <row r="73" customFormat="false" ht="15" hidden="false" customHeight="false" outlineLevel="0" collapsed="false">
      <c r="A73" s="3" t="s">
        <v>358</v>
      </c>
      <c r="B73" s="3" t="s">
        <v>76</v>
      </c>
      <c r="C73" s="3" t="s">
        <v>359</v>
      </c>
      <c r="D73" s="8" t="n">
        <v>64.45</v>
      </c>
      <c r="E73" s="3"/>
      <c r="F73" s="3" t="s">
        <v>161</v>
      </c>
      <c r="G73" s="3"/>
      <c r="H73" s="3" t="s">
        <v>351</v>
      </c>
      <c r="I73" s="3" t="s">
        <v>79</v>
      </c>
      <c r="J73" s="3"/>
    </row>
    <row r="74" customFormat="false" ht="15" hidden="false" customHeight="false" outlineLevel="0" collapsed="false">
      <c r="A74" s="3" t="s">
        <v>360</v>
      </c>
      <c r="B74" s="3" t="s">
        <v>76</v>
      </c>
      <c r="C74" s="3" t="s">
        <v>361</v>
      </c>
      <c r="D74" s="8" t="n">
        <v>60.84</v>
      </c>
      <c r="E74" s="3"/>
      <c r="F74" s="3" t="s">
        <v>161</v>
      </c>
      <c r="G74" s="3" t="s">
        <v>362</v>
      </c>
      <c r="H74" s="3" t="s">
        <v>363</v>
      </c>
      <c r="I74" s="3" t="s">
        <v>79</v>
      </c>
      <c r="J74" s="3"/>
    </row>
    <row r="75" customFormat="false" ht="15" hidden="false" customHeight="false" outlineLevel="0" collapsed="false">
      <c r="A75" s="3" t="s">
        <v>364</v>
      </c>
      <c r="B75" s="3" t="s">
        <v>82</v>
      </c>
      <c r="C75" s="3" t="s">
        <v>365</v>
      </c>
      <c r="D75" s="8" t="n">
        <v>5</v>
      </c>
      <c r="E75" s="3"/>
      <c r="F75" s="3" t="s">
        <v>366</v>
      </c>
      <c r="G75" s="3"/>
      <c r="H75" s="3" t="s">
        <v>367</v>
      </c>
      <c r="I75" s="3" t="s">
        <v>240</v>
      </c>
      <c r="J75" s="3" t="s">
        <v>368</v>
      </c>
    </row>
    <row r="76" customFormat="false" ht="15" hidden="false" customHeight="false" outlineLevel="0" collapsed="false">
      <c r="A76" s="3" t="s">
        <v>369</v>
      </c>
      <c r="B76" s="3" t="s">
        <v>82</v>
      </c>
      <c r="C76" s="3" t="s">
        <v>370</v>
      </c>
      <c r="D76" s="8" t="n">
        <v>800</v>
      </c>
      <c r="E76" s="3"/>
      <c r="F76" s="3" t="s">
        <v>371</v>
      </c>
      <c r="G76" s="3"/>
      <c r="H76" s="3" t="s">
        <v>372</v>
      </c>
      <c r="I76" s="3" t="s">
        <v>240</v>
      </c>
      <c r="J76" s="3"/>
    </row>
    <row r="77" customFormat="false" ht="15" hidden="false" customHeight="false" outlineLevel="0" collapsed="false">
      <c r="A77" s="3" t="s">
        <v>373</v>
      </c>
      <c r="B77" s="3" t="s">
        <v>82</v>
      </c>
      <c r="C77" s="3" t="s">
        <v>374</v>
      </c>
      <c r="D77" s="8" t="n">
        <v>96.83</v>
      </c>
      <c r="E77" s="3"/>
      <c r="F77" s="3" t="s">
        <v>161</v>
      </c>
      <c r="G77" s="3"/>
      <c r="H77" s="3" t="s">
        <v>375</v>
      </c>
      <c r="I77" s="3" t="s">
        <v>240</v>
      </c>
      <c r="J77" s="3"/>
    </row>
    <row r="78" customFormat="false" ht="15" hidden="false" customHeight="false" outlineLevel="0" collapsed="false">
      <c r="A78" s="3" t="s">
        <v>376</v>
      </c>
      <c r="B78" s="3" t="s">
        <v>82</v>
      </c>
      <c r="C78" s="3" t="s">
        <v>377</v>
      </c>
      <c r="D78" s="8" t="n">
        <v>0.0663</v>
      </c>
      <c r="E78" s="3"/>
      <c r="F78" s="3" t="s">
        <v>378</v>
      </c>
      <c r="G78" s="3" t="s">
        <v>379</v>
      </c>
      <c r="H78" s="3" t="s">
        <v>375</v>
      </c>
      <c r="I78" s="3" t="s">
        <v>240</v>
      </c>
      <c r="J78" s="3" t="s">
        <v>380</v>
      </c>
    </row>
    <row r="79" customFormat="false" ht="15" hidden="false" customHeight="false" outlineLevel="0" collapsed="false">
      <c r="A79" s="3" t="s">
        <v>381</v>
      </c>
      <c r="B79" s="3" t="s">
        <v>82</v>
      </c>
      <c r="C79" s="3" t="s">
        <v>382</v>
      </c>
      <c r="D79" s="8" t="n">
        <v>0.023</v>
      </c>
      <c r="E79" s="3"/>
      <c r="F79" s="3" t="s">
        <v>378</v>
      </c>
      <c r="G79" s="3"/>
      <c r="H79" s="3" t="s">
        <v>375</v>
      </c>
      <c r="I79" s="3" t="s">
        <v>240</v>
      </c>
      <c r="J79" s="3"/>
    </row>
    <row r="80" customFormat="false" ht="15" hidden="false" customHeight="false" outlineLevel="0" collapsed="false">
      <c r="A80" s="3" t="s">
        <v>383</v>
      </c>
      <c r="B80" s="3" t="s">
        <v>82</v>
      </c>
      <c r="C80" s="3" t="s">
        <v>384</v>
      </c>
      <c r="D80" s="8" t="n">
        <v>0.79</v>
      </c>
      <c r="E80" s="3"/>
      <c r="F80" s="3" t="s">
        <v>385</v>
      </c>
      <c r="G80" s="3"/>
      <c r="H80" s="3" t="s">
        <v>375</v>
      </c>
      <c r="I80" s="3" t="s">
        <v>240</v>
      </c>
      <c r="J80" s="3" t="s">
        <v>386</v>
      </c>
    </row>
    <row r="81" customFormat="false" ht="15" hidden="false" customHeight="false" outlineLevel="0" collapsed="false">
      <c r="A81" s="3" t="s">
        <v>387</v>
      </c>
      <c r="B81" s="3" t="s">
        <v>82</v>
      </c>
      <c r="C81" s="3" t="s">
        <v>388</v>
      </c>
      <c r="D81" s="8" t="n">
        <v>0.3734</v>
      </c>
      <c r="E81" s="3"/>
      <c r="F81" s="3" t="s">
        <v>385</v>
      </c>
      <c r="G81" s="3"/>
      <c r="H81" s="3" t="s">
        <v>389</v>
      </c>
      <c r="I81" s="3" t="s">
        <v>240</v>
      </c>
      <c r="J81" s="3" t="s">
        <v>390</v>
      </c>
    </row>
    <row r="82" customFormat="false" ht="15" hidden="false" customHeight="false" outlineLevel="0" collapsed="false">
      <c r="A82" s="3" t="s">
        <v>391</v>
      </c>
      <c r="B82" s="3" t="s">
        <v>82</v>
      </c>
      <c r="C82" s="3" t="s">
        <v>392</v>
      </c>
      <c r="D82" s="8" t="n">
        <v>0.17</v>
      </c>
      <c r="E82" s="3"/>
      <c r="F82" s="3" t="s">
        <v>385</v>
      </c>
      <c r="G82" s="3"/>
      <c r="H82" s="3" t="s">
        <v>375</v>
      </c>
      <c r="I82" s="3" t="s">
        <v>240</v>
      </c>
      <c r="J82" s="3"/>
    </row>
    <row r="83" customFormat="false" ht="15" hidden="false" customHeight="false" outlineLevel="0" collapsed="false">
      <c r="A83" s="3" t="s">
        <v>393</v>
      </c>
      <c r="B83" s="3" t="s">
        <v>82</v>
      </c>
      <c r="C83" s="3" t="s">
        <v>394</v>
      </c>
      <c r="D83" s="8" t="n">
        <v>12.38</v>
      </c>
      <c r="E83" s="3"/>
      <c r="F83" s="3" t="s">
        <v>161</v>
      </c>
      <c r="G83" s="3"/>
      <c r="H83" s="3" t="s">
        <v>375</v>
      </c>
      <c r="I83" s="3" t="s">
        <v>240</v>
      </c>
      <c r="J83" s="3"/>
    </row>
    <row r="84" customFormat="false" ht="15" hidden="false" customHeight="false" outlineLevel="0" collapsed="false">
      <c r="A84" s="3" t="s">
        <v>395</v>
      </c>
      <c r="B84" s="3" t="s">
        <v>82</v>
      </c>
      <c r="C84" s="3" t="s">
        <v>396</v>
      </c>
      <c r="D84" s="8" t="n">
        <v>90.01</v>
      </c>
      <c r="E84" s="3"/>
      <c r="F84" s="3" t="s">
        <v>161</v>
      </c>
      <c r="G84" s="3"/>
      <c r="H84" s="3" t="s">
        <v>375</v>
      </c>
      <c r="I84" s="3" t="s">
        <v>240</v>
      </c>
      <c r="J84" s="3"/>
    </row>
    <row r="85" customFormat="false" ht="15" hidden="false" customHeight="false" outlineLevel="0" collapsed="false">
      <c r="A85" s="3" t="s">
        <v>397</v>
      </c>
      <c r="B85" s="3" t="s">
        <v>98</v>
      </c>
      <c r="C85" s="3" t="s">
        <v>398</v>
      </c>
      <c r="D85" s="8" t="n">
        <v>10.4</v>
      </c>
      <c r="E85" s="3"/>
      <c r="F85" s="3" t="s">
        <v>161</v>
      </c>
      <c r="G85" s="3" t="s">
        <v>399</v>
      </c>
      <c r="H85" s="3" t="s">
        <v>400</v>
      </c>
      <c r="I85" s="3" t="s">
        <v>401</v>
      </c>
      <c r="J85" s="3" t="s">
        <v>402</v>
      </c>
    </row>
    <row r="86" customFormat="false" ht="15" hidden="false" customHeight="false" outlineLevel="0" collapsed="false">
      <c r="A86" s="3" t="s">
        <v>403</v>
      </c>
      <c r="B86" s="3" t="s">
        <v>98</v>
      </c>
      <c r="C86" s="3" t="s">
        <v>404</v>
      </c>
      <c r="D86" s="8" t="n">
        <v>16</v>
      </c>
      <c r="E86" s="3"/>
      <c r="F86" s="3" t="s">
        <v>161</v>
      </c>
      <c r="G86" s="3"/>
      <c r="H86" s="3" t="s">
        <v>400</v>
      </c>
      <c r="I86" s="3" t="s">
        <v>401</v>
      </c>
      <c r="J86" s="3"/>
    </row>
    <row r="87" customFormat="false" ht="15" hidden="false" customHeight="false" outlineLevel="0" collapsed="false">
      <c r="A87" s="3" t="s">
        <v>405</v>
      </c>
      <c r="B87" s="3" t="s">
        <v>98</v>
      </c>
      <c r="C87" s="3" t="s">
        <v>406</v>
      </c>
      <c r="D87" s="8" t="n">
        <v>39</v>
      </c>
      <c r="E87" s="3"/>
      <c r="F87" s="3" t="s">
        <v>161</v>
      </c>
      <c r="G87" s="3"/>
      <c r="H87" s="3" t="s">
        <v>400</v>
      </c>
      <c r="I87" s="3" t="s">
        <v>401</v>
      </c>
      <c r="J87" s="3"/>
    </row>
    <row r="88" customFormat="false" ht="15" hidden="false" customHeight="false" outlineLevel="0" collapsed="false">
      <c r="A88" s="3" t="s">
        <v>407</v>
      </c>
      <c r="B88" s="3" t="s">
        <v>98</v>
      </c>
      <c r="C88" s="3" t="s">
        <v>408</v>
      </c>
      <c r="D88" s="8" t="n">
        <v>61.5</v>
      </c>
      <c r="E88" s="3"/>
      <c r="F88" s="3" t="s">
        <v>161</v>
      </c>
      <c r="G88" s="3"/>
      <c r="H88" s="3" t="s">
        <v>400</v>
      </c>
      <c r="I88" s="3" t="s">
        <v>401</v>
      </c>
      <c r="J88" s="3"/>
    </row>
    <row r="89" customFormat="false" ht="15" hidden="false" customHeight="false" outlineLevel="0" collapsed="false">
      <c r="A89" s="3" t="s">
        <v>409</v>
      </c>
      <c r="B89" s="3" t="s">
        <v>98</v>
      </c>
      <c r="C89" s="3" t="s">
        <v>410</v>
      </c>
      <c r="D89" s="8" t="n">
        <v>16</v>
      </c>
      <c r="E89" s="3"/>
      <c r="F89" s="3" t="s">
        <v>161</v>
      </c>
      <c r="G89" s="3"/>
      <c r="H89" s="3" t="s">
        <v>411</v>
      </c>
      <c r="I89" s="3" t="s">
        <v>401</v>
      </c>
      <c r="J89" s="3"/>
    </row>
    <row r="90" customFormat="false" ht="15" hidden="false" customHeight="false" outlineLevel="0" collapsed="false">
      <c r="A90" s="3" t="s">
        <v>412</v>
      </c>
      <c r="B90" s="3" t="s">
        <v>98</v>
      </c>
      <c r="C90" s="3" t="s">
        <v>413</v>
      </c>
      <c r="D90" s="8" t="n">
        <v>60.8</v>
      </c>
      <c r="E90" s="3"/>
      <c r="F90" s="3" t="s">
        <v>161</v>
      </c>
      <c r="G90" s="3"/>
      <c r="H90" s="3" t="s">
        <v>411</v>
      </c>
      <c r="I90" s="3" t="s">
        <v>401</v>
      </c>
      <c r="J90" s="3"/>
    </row>
    <row r="91" customFormat="false" ht="15" hidden="false" customHeight="false" outlineLevel="0" collapsed="false">
      <c r="A91" s="3" t="s">
        <v>414</v>
      </c>
      <c r="B91" s="3" t="s">
        <v>98</v>
      </c>
      <c r="C91" s="3" t="s">
        <v>415</v>
      </c>
      <c r="D91" s="8" t="n">
        <v>28.8</v>
      </c>
      <c r="E91" s="3"/>
      <c r="F91" s="3" t="s">
        <v>161</v>
      </c>
      <c r="G91" s="3"/>
      <c r="H91" s="3" t="s">
        <v>411</v>
      </c>
      <c r="I91" s="3" t="s">
        <v>401</v>
      </c>
      <c r="J91" s="3"/>
    </row>
    <row r="92" customFormat="false" ht="15" hidden="false" customHeight="false" outlineLevel="0" collapsed="false">
      <c r="A92" s="3" t="s">
        <v>416</v>
      </c>
      <c r="B92" s="3" t="s">
        <v>98</v>
      </c>
      <c r="C92" s="3" t="s">
        <v>417</v>
      </c>
      <c r="D92" s="8" t="n">
        <v>88.5</v>
      </c>
      <c r="E92" s="3"/>
      <c r="F92" s="3" t="s">
        <v>161</v>
      </c>
      <c r="G92" s="3"/>
      <c r="H92" s="3" t="s">
        <v>411</v>
      </c>
      <c r="I92" s="3" t="s">
        <v>401</v>
      </c>
      <c r="J92" s="3"/>
    </row>
    <row r="93" customFormat="false" ht="15" hidden="false" customHeight="false" outlineLevel="0" collapsed="false">
      <c r="A93" s="3" t="s">
        <v>418</v>
      </c>
      <c r="B93" s="3" t="s">
        <v>98</v>
      </c>
      <c r="C93" s="3" t="s">
        <v>419</v>
      </c>
      <c r="D93" s="8" t="n">
        <v>10.4</v>
      </c>
      <c r="E93" s="3"/>
      <c r="F93" s="3" t="s">
        <v>161</v>
      </c>
      <c r="G93" s="3" t="s">
        <v>420</v>
      </c>
      <c r="H93" s="3" t="s">
        <v>421</v>
      </c>
      <c r="I93" s="3" t="s">
        <v>401</v>
      </c>
      <c r="J93" s="3"/>
    </row>
    <row r="94" customFormat="false" ht="15" hidden="false" customHeight="false" outlineLevel="0" collapsed="false">
      <c r="A94" s="3" t="s">
        <v>422</v>
      </c>
      <c r="B94" s="3" t="s">
        <v>98</v>
      </c>
      <c r="C94" s="3" t="s">
        <v>423</v>
      </c>
      <c r="D94" s="8" t="n">
        <v>9800</v>
      </c>
      <c r="E94" s="3"/>
      <c r="F94" s="3" t="s">
        <v>424</v>
      </c>
      <c r="G94" s="3" t="s">
        <v>425</v>
      </c>
      <c r="H94" s="3" t="s">
        <v>421</v>
      </c>
      <c r="I94" s="3" t="s">
        <v>79</v>
      </c>
      <c r="J94" s="3"/>
    </row>
    <row r="95" customFormat="false" ht="15" hidden="false" customHeight="false" outlineLevel="0" collapsed="false">
      <c r="A95" s="3" t="s">
        <v>426</v>
      </c>
      <c r="B95" s="3" t="s">
        <v>98</v>
      </c>
      <c r="C95" s="3" t="s">
        <v>427</v>
      </c>
      <c r="D95" s="8" t="n">
        <v>1000</v>
      </c>
      <c r="E95" s="3"/>
      <c r="F95" s="3" t="s">
        <v>428</v>
      </c>
      <c r="G95" s="3" t="s">
        <v>429</v>
      </c>
      <c r="H95" s="3" t="s">
        <v>430</v>
      </c>
      <c r="I95" s="3" t="s">
        <v>79</v>
      </c>
      <c r="J95" s="3" t="s">
        <v>431</v>
      </c>
    </row>
    <row r="96" customFormat="false" ht="23.85" hidden="false" customHeight="false" outlineLevel="0" collapsed="false">
      <c r="A96" s="3" t="s">
        <v>432</v>
      </c>
      <c r="B96" s="3" t="s">
        <v>98</v>
      </c>
      <c r="C96" s="3" t="s">
        <v>433</v>
      </c>
      <c r="D96" s="8" t="n">
        <v>10</v>
      </c>
      <c r="E96" s="3"/>
      <c r="F96" s="3" t="s">
        <v>434</v>
      </c>
      <c r="G96" s="3" t="s">
        <v>435</v>
      </c>
      <c r="H96" s="3" t="s">
        <v>351</v>
      </c>
      <c r="I96" s="3" t="s">
        <v>79</v>
      </c>
      <c r="J96" s="3"/>
    </row>
    <row r="97" customFormat="false" ht="15" hidden="false" customHeight="false" outlineLevel="0" collapsed="false">
      <c r="A97" s="3" t="s">
        <v>436</v>
      </c>
      <c r="B97" s="3" t="s">
        <v>98</v>
      </c>
      <c r="C97" s="3" t="s">
        <v>437</v>
      </c>
      <c r="D97" s="8" t="n">
        <v>24</v>
      </c>
      <c r="E97" s="3"/>
      <c r="F97" s="3" t="s">
        <v>262</v>
      </c>
      <c r="G97" s="3" t="s">
        <v>438</v>
      </c>
      <c r="H97" s="3" t="s">
        <v>439</v>
      </c>
      <c r="I97" s="3" t="s">
        <v>440</v>
      </c>
      <c r="J97" s="3"/>
    </row>
    <row r="98" customFormat="false" ht="15" hidden="false" customHeight="false" outlineLevel="0" collapsed="false">
      <c r="A98" s="3" t="s">
        <v>441</v>
      </c>
      <c r="B98" s="3" t="s">
        <v>104</v>
      </c>
      <c r="C98" s="3" t="s">
        <v>442</v>
      </c>
      <c r="D98" s="8" t="n">
        <v>98.1</v>
      </c>
      <c r="E98" s="3"/>
      <c r="F98" s="3" t="s">
        <v>161</v>
      </c>
      <c r="G98" s="3" t="s">
        <v>443</v>
      </c>
      <c r="H98" s="3" t="s">
        <v>444</v>
      </c>
      <c r="I98" s="3" t="s">
        <v>445</v>
      </c>
      <c r="J98" s="3" t="s">
        <v>446</v>
      </c>
    </row>
    <row r="99" customFormat="false" ht="15" hidden="false" customHeight="false" outlineLevel="0" collapsed="false">
      <c r="A99" s="3" t="s">
        <v>447</v>
      </c>
      <c r="B99" s="3" t="s">
        <v>104</v>
      </c>
      <c r="C99" s="3" t="s">
        <v>448</v>
      </c>
      <c r="D99" s="8" t="n">
        <v>85.1</v>
      </c>
      <c r="E99" s="3"/>
      <c r="F99" s="3" t="s">
        <v>161</v>
      </c>
      <c r="G99" s="3" t="s">
        <v>449</v>
      </c>
      <c r="H99" s="3" t="s">
        <v>444</v>
      </c>
      <c r="I99" s="3" t="s">
        <v>445</v>
      </c>
      <c r="J99" s="3"/>
    </row>
    <row r="100" customFormat="false" ht="15" hidden="false" customHeight="false" outlineLevel="0" collapsed="false">
      <c r="A100" s="3" t="s">
        <v>450</v>
      </c>
      <c r="B100" s="3" t="s">
        <v>104</v>
      </c>
      <c r="C100" s="3" t="s">
        <v>451</v>
      </c>
      <c r="D100" s="8" t="n">
        <v>72.9</v>
      </c>
      <c r="E100" s="3"/>
      <c r="F100" s="3" t="s">
        <v>161</v>
      </c>
      <c r="G100" s="3" t="s">
        <v>452</v>
      </c>
      <c r="H100" s="3" t="s">
        <v>444</v>
      </c>
      <c r="I100" s="3" t="s">
        <v>445</v>
      </c>
      <c r="J100" s="3"/>
    </row>
    <row r="101" customFormat="false" ht="15" hidden="false" customHeight="false" outlineLevel="0" collapsed="false">
      <c r="A101" s="3" t="s">
        <v>453</v>
      </c>
      <c r="B101" s="3" t="s">
        <v>104</v>
      </c>
      <c r="C101" s="3" t="s">
        <v>454</v>
      </c>
      <c r="D101" s="8" t="n">
        <v>85.1</v>
      </c>
      <c r="E101" s="3"/>
      <c r="F101" s="3" t="s">
        <v>161</v>
      </c>
      <c r="G101" s="3" t="s">
        <v>455</v>
      </c>
      <c r="H101" s="3" t="s">
        <v>456</v>
      </c>
      <c r="I101" s="3" t="s">
        <v>445</v>
      </c>
      <c r="J101" s="3"/>
    </row>
    <row r="102" customFormat="false" ht="15" hidden="false" customHeight="false" outlineLevel="0" collapsed="false">
      <c r="A102" s="3" t="s">
        <v>457</v>
      </c>
      <c r="B102" s="3" t="s">
        <v>104</v>
      </c>
      <c r="C102" s="3" t="s">
        <v>458</v>
      </c>
      <c r="D102" s="8" t="n">
        <v>82.2</v>
      </c>
      <c r="E102" s="3"/>
      <c r="F102" s="3" t="s">
        <v>161</v>
      </c>
      <c r="G102" s="3" t="s">
        <v>459</v>
      </c>
      <c r="H102" s="3" t="s">
        <v>456</v>
      </c>
      <c r="I102" s="3" t="s">
        <v>445</v>
      </c>
      <c r="J102" s="3"/>
    </row>
    <row r="103" customFormat="false" ht="15" hidden="false" customHeight="false" outlineLevel="0" collapsed="false">
      <c r="A103" s="3" t="s">
        <v>460</v>
      </c>
      <c r="B103" s="3" t="s">
        <v>104</v>
      </c>
      <c r="C103" s="3" t="s">
        <v>461</v>
      </c>
      <c r="D103" s="8" t="n">
        <v>78.9</v>
      </c>
      <c r="E103" s="3"/>
      <c r="F103" s="3" t="s">
        <v>161</v>
      </c>
      <c r="G103" s="3" t="s">
        <v>462</v>
      </c>
      <c r="H103" s="3" t="s">
        <v>456</v>
      </c>
      <c r="I103" s="3" t="s">
        <v>445</v>
      </c>
      <c r="J103" s="3"/>
    </row>
    <row r="104" customFormat="false" ht="15" hidden="false" customHeight="false" outlineLevel="0" collapsed="false">
      <c r="A104" s="3" t="s">
        <v>463</v>
      </c>
      <c r="B104" s="3" t="s">
        <v>104</v>
      </c>
      <c r="C104" s="3" t="s">
        <v>464</v>
      </c>
      <c r="D104" s="8" t="n">
        <v>69.7</v>
      </c>
      <c r="E104" s="3"/>
      <c r="F104" s="3" t="s">
        <v>161</v>
      </c>
      <c r="G104" s="3" t="s">
        <v>465</v>
      </c>
      <c r="H104" s="3" t="s">
        <v>456</v>
      </c>
      <c r="I104" s="3" t="s">
        <v>445</v>
      </c>
      <c r="J104" s="3"/>
    </row>
    <row r="105" customFormat="false" ht="15" hidden="false" customHeight="false" outlineLevel="0" collapsed="false">
      <c r="A105" s="3" t="s">
        <v>466</v>
      </c>
      <c r="B105" s="3" t="s">
        <v>104</v>
      </c>
      <c r="C105" s="3" t="s">
        <v>467</v>
      </c>
      <c r="D105" s="8" t="n">
        <v>85.6</v>
      </c>
      <c r="E105" s="3"/>
      <c r="F105" s="3" t="s">
        <v>161</v>
      </c>
      <c r="G105" s="3"/>
      <c r="H105" s="3" t="s">
        <v>468</v>
      </c>
      <c r="I105" s="3" t="s">
        <v>445</v>
      </c>
      <c r="J105" s="3"/>
    </row>
    <row r="106" customFormat="false" ht="15" hidden="false" customHeight="false" outlineLevel="0" collapsed="false">
      <c r="A106" s="3" t="s">
        <v>469</v>
      </c>
      <c r="B106" s="3" t="s">
        <v>104</v>
      </c>
      <c r="C106" s="3" t="s">
        <v>470</v>
      </c>
      <c r="D106" s="8" t="n">
        <v>99.7</v>
      </c>
      <c r="E106" s="3"/>
      <c r="F106" s="3" t="s">
        <v>161</v>
      </c>
      <c r="G106" s="3"/>
      <c r="H106" s="3" t="s">
        <v>468</v>
      </c>
      <c r="I106" s="3" t="s">
        <v>445</v>
      </c>
      <c r="J106" s="3"/>
    </row>
    <row r="107" customFormat="false" ht="15" hidden="false" customHeight="false" outlineLevel="0" collapsed="false">
      <c r="A107" s="3" t="s">
        <v>471</v>
      </c>
      <c r="B107" s="3" t="s">
        <v>104</v>
      </c>
      <c r="C107" s="3" t="s">
        <v>472</v>
      </c>
      <c r="D107" s="8" t="n">
        <v>98.1</v>
      </c>
      <c r="E107" s="3"/>
      <c r="F107" s="3" t="s">
        <v>161</v>
      </c>
      <c r="G107" s="3"/>
      <c r="H107" s="3" t="s">
        <v>473</v>
      </c>
      <c r="I107" s="3" t="s">
        <v>445</v>
      </c>
      <c r="J107" s="3"/>
    </row>
    <row r="108" customFormat="false" ht="15" hidden="false" customHeight="false" outlineLevel="0" collapsed="false">
      <c r="A108" s="3" t="s">
        <v>474</v>
      </c>
      <c r="B108" s="3" t="s">
        <v>104</v>
      </c>
      <c r="C108" s="3" t="s">
        <v>475</v>
      </c>
      <c r="D108" s="8" t="n">
        <v>92.5</v>
      </c>
      <c r="E108" s="3"/>
      <c r="F108" s="3" t="s">
        <v>161</v>
      </c>
      <c r="G108" s="3"/>
      <c r="H108" s="3" t="s">
        <v>473</v>
      </c>
      <c r="I108" s="3" t="s">
        <v>445</v>
      </c>
      <c r="J108" s="3"/>
    </row>
    <row r="109" customFormat="false" ht="15" hidden="false" customHeight="false" outlineLevel="0" collapsed="false">
      <c r="A109" s="3" t="s">
        <v>476</v>
      </c>
      <c r="B109" s="3" t="s">
        <v>104</v>
      </c>
      <c r="C109" s="3" t="s">
        <v>477</v>
      </c>
      <c r="D109" s="8" t="n">
        <v>85.3</v>
      </c>
      <c r="E109" s="3"/>
      <c r="F109" s="3" t="s">
        <v>161</v>
      </c>
      <c r="G109" s="3"/>
      <c r="H109" s="3" t="s">
        <v>473</v>
      </c>
      <c r="I109" s="3" t="s">
        <v>445</v>
      </c>
      <c r="J109" s="3"/>
    </row>
    <row r="110" customFormat="false" ht="15" hidden="false" customHeight="false" outlineLevel="0" collapsed="false">
      <c r="A110" s="3" t="s">
        <v>478</v>
      </c>
      <c r="B110" s="3" t="s">
        <v>104</v>
      </c>
      <c r="C110" s="3" t="s">
        <v>479</v>
      </c>
      <c r="D110" s="8" t="n">
        <v>78.1</v>
      </c>
      <c r="E110" s="3"/>
      <c r="F110" s="3" t="s">
        <v>161</v>
      </c>
      <c r="G110" s="3"/>
      <c r="H110" s="3" t="s">
        <v>473</v>
      </c>
      <c r="I110" s="3" t="s">
        <v>445</v>
      </c>
      <c r="J1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48"/>
  </cols>
  <sheetData>
    <row r="1" customFormat="false" ht="23.85" hidden="false" customHeight="false" outlineLevel="0" collapsed="false">
      <c r="A1" s="7" t="s">
        <v>116</v>
      </c>
      <c r="B1" s="7" t="s">
        <v>480</v>
      </c>
      <c r="C1" s="7" t="s">
        <v>117</v>
      </c>
      <c r="D1" s="7" t="s">
        <v>481</v>
      </c>
      <c r="E1" s="7" t="s">
        <v>482</v>
      </c>
      <c r="F1" s="7" t="s">
        <v>483</v>
      </c>
      <c r="G1" s="7" t="s">
        <v>484</v>
      </c>
      <c r="H1" s="7" t="s">
        <v>121</v>
      </c>
      <c r="I1" s="7" t="s">
        <v>485</v>
      </c>
      <c r="J1" s="7" t="s">
        <v>486</v>
      </c>
      <c r="K1" s="7" t="s">
        <v>487</v>
      </c>
      <c r="L1" s="7" t="s">
        <v>488</v>
      </c>
      <c r="M1" s="7" t="s">
        <v>34</v>
      </c>
    </row>
    <row r="2" customFormat="false" ht="23.85" hidden="false" customHeight="false" outlineLevel="0" collapsed="false">
      <c r="A2" s="3" t="s">
        <v>489</v>
      </c>
      <c r="B2" s="3" t="s">
        <v>490</v>
      </c>
      <c r="C2" s="3" t="s">
        <v>76</v>
      </c>
      <c r="D2" s="8" t="s">
        <v>303</v>
      </c>
      <c r="E2" s="9" t="n">
        <f aca="false">IFERROR(INDEX(Metrics!$D:$D,MATCH($D2,Metrics!$A:$A,0)),"ID not found")</f>
        <v>95</v>
      </c>
      <c r="F2" s="8" t="s">
        <v>313</v>
      </c>
      <c r="G2" s="9" t="n">
        <f aca="false">IFERROR(INDEX(Metrics!$D:$D,MATCH($F2,Metrics!$A:$A,0)),"ID not found")</f>
        <v>83.52</v>
      </c>
      <c r="H2" s="10" t="str">
        <f aca="false">IFERROR(INDEX(Metrics!$F:$F,MATCH($D2,Metrics!$A:$A,0)),"ID not found")</f>
        <v>%</v>
      </c>
      <c r="I2" s="11" t="n">
        <f aca="false">IFERROR(G2-E2,"")</f>
        <v>-11.48</v>
      </c>
      <c r="J2" s="12" t="n">
        <f aca="false">IFERROR(IF(E2=0,"",(G2-E2)/E2),"")</f>
        <v>-0.120842105263158</v>
      </c>
      <c r="K2" s="8" t="s">
        <v>491</v>
      </c>
      <c r="L2" s="3" t="str">
        <f aca="false">IFERROR(IF(K2="Higher",IF(G2&gt;E2,"Yes","No"),IF(G2&lt;E2,"Yes","No")),"")</f>
        <v>No</v>
      </c>
      <c r="M2" s="3" t="s">
        <v>492</v>
      </c>
    </row>
    <row r="3" customFormat="false" ht="15" hidden="false" customHeight="false" outlineLevel="0" collapsed="false">
      <c r="A3" s="3" t="s">
        <v>493</v>
      </c>
      <c r="B3" s="3" t="s">
        <v>494</v>
      </c>
      <c r="C3" s="3" t="s">
        <v>76</v>
      </c>
      <c r="D3" s="8" t="s">
        <v>295</v>
      </c>
      <c r="E3" s="9" t="n">
        <f aca="false">IFERROR(INDEX(Metrics!$D:$D,MATCH($D3,Metrics!$A:$A,0)),"ID not found")</f>
        <v>62.58</v>
      </c>
      <c r="F3" s="8" t="s">
        <v>313</v>
      </c>
      <c r="G3" s="9" t="n">
        <f aca="false">IFERROR(INDEX(Metrics!$D:$D,MATCH($F3,Metrics!$A:$A,0)),"ID not found")</f>
        <v>83.52</v>
      </c>
      <c r="H3" s="10" t="str">
        <f aca="false">IFERROR(INDEX(Metrics!$F:$F,MATCH($D3,Metrics!$A:$A,0)),"ID not found")</f>
        <v>%</v>
      </c>
      <c r="I3" s="11" t="n">
        <f aca="false">IFERROR(G3-E3,"")</f>
        <v>20.94</v>
      </c>
      <c r="J3" s="12" t="n">
        <f aca="false">IFERROR(IF(E3=0,"",(G3-E3)/E3),"")</f>
        <v>0.334611697027804</v>
      </c>
      <c r="K3" s="8" t="s">
        <v>491</v>
      </c>
      <c r="L3" s="3" t="str">
        <f aca="false">IFERROR(IF(K3="Higher",IF(G3&gt;E3,"Yes","No"),IF(G3&lt;E3,"Yes","No")),"")</f>
        <v>Yes</v>
      </c>
      <c r="M3" s="3"/>
    </row>
    <row r="4" customFormat="false" ht="15" hidden="false" customHeight="false" outlineLevel="0" collapsed="false">
      <c r="A4" s="3" t="s">
        <v>495</v>
      </c>
      <c r="B4" s="3" t="s">
        <v>496</v>
      </c>
      <c r="C4" s="3" t="s">
        <v>76</v>
      </c>
      <c r="D4" s="8" t="s">
        <v>315</v>
      </c>
      <c r="E4" s="9" t="n">
        <f aca="false">IFERROR(INDEX(Metrics!$D:$D,MATCH($D4,Metrics!$A:$A,0)),"ID not found")</f>
        <v>100</v>
      </c>
      <c r="F4" s="8" t="s">
        <v>310</v>
      </c>
      <c r="G4" s="9" t="n">
        <f aca="false">IFERROR(INDEX(Metrics!$D:$D,MATCH($F4,Metrics!$A:$A,0)),"ID not found")</f>
        <v>35.5</v>
      </c>
      <c r="H4" s="10" t="str">
        <f aca="false">IFERROR(INDEX(Metrics!$F:$F,MATCH($D4,Metrics!$A:$A,0)),"ID not found")</f>
        <v>%</v>
      </c>
      <c r="I4" s="11" t="n">
        <f aca="false">IFERROR(G4-E4,"")</f>
        <v>-64.5</v>
      </c>
      <c r="J4" s="12" t="n">
        <f aca="false">IFERROR(IF(E4=0,"",(G4-E4)/E4),"")</f>
        <v>-0.645</v>
      </c>
      <c r="K4" s="8" t="s">
        <v>497</v>
      </c>
      <c r="L4" s="3" t="str">
        <f aca="false">IFERROR(IF(K4="Higher",IF(G4&gt;E4,"Yes","No"),IF(G4&lt;E4,"Yes","No")),"")</f>
        <v>Yes</v>
      </c>
      <c r="M4" s="3"/>
    </row>
    <row r="5" customFormat="false" ht="15" hidden="false" customHeight="false" outlineLevel="0" collapsed="false">
      <c r="A5" s="3" t="s">
        <v>498</v>
      </c>
      <c r="B5" s="3" t="s">
        <v>499</v>
      </c>
      <c r="C5" s="3" t="s">
        <v>76</v>
      </c>
      <c r="D5" s="8" t="s">
        <v>352</v>
      </c>
      <c r="E5" s="9" t="n">
        <f aca="false">IFERROR(INDEX(Metrics!$D:$D,MATCH($D5,Metrics!$A:$A,0)),"ID not found")</f>
        <v>74.34</v>
      </c>
      <c r="F5" s="8" t="s">
        <v>349</v>
      </c>
      <c r="G5" s="9" t="n">
        <f aca="false">IFERROR(INDEX(Metrics!$D:$D,MATCH($F5,Metrics!$A:$A,0)),"ID not found")</f>
        <v>0.99</v>
      </c>
      <c r="H5" s="10" t="str">
        <f aca="false">IFERROR(INDEX(Metrics!$F:$F,MATCH($D5,Metrics!$A:$A,0)),"ID not found")</f>
        <v>ms</v>
      </c>
      <c r="I5" s="11" t="n">
        <f aca="false">IFERROR(G5-E5,"")</f>
        <v>-73.35</v>
      </c>
      <c r="J5" s="12" t="n">
        <f aca="false">IFERROR(IF(E5=0,"",(G5-E5)/E5),"")</f>
        <v>-0.986682808716707</v>
      </c>
      <c r="K5" s="8" t="s">
        <v>497</v>
      </c>
      <c r="L5" s="3" t="str">
        <f aca="false">IFERROR(IF(K5="Higher",IF(G5&gt;E5,"Yes","No"),IF(G5&lt;E5,"Yes","No")),"")</f>
        <v>Yes</v>
      </c>
      <c r="M5" s="3" t="s">
        <v>500</v>
      </c>
    </row>
    <row r="6" customFormat="false" ht="15" hidden="false" customHeight="false" outlineLevel="0" collapsed="false">
      <c r="A6" s="3" t="s">
        <v>501</v>
      </c>
      <c r="B6" s="3" t="s">
        <v>502</v>
      </c>
      <c r="C6" s="3" t="s">
        <v>43</v>
      </c>
      <c r="D6" s="8" t="s">
        <v>170</v>
      </c>
      <c r="E6" s="9" t="n">
        <f aca="false">IFERROR(INDEX(Metrics!$D:$D,MATCH($D6,Metrics!$A:$A,0)),"ID not found")</f>
        <v>70</v>
      </c>
      <c r="F6" s="8" t="s">
        <v>174</v>
      </c>
      <c r="G6" s="9" t="n">
        <f aca="false">IFERROR(INDEX(Metrics!$D:$D,MATCH($F6,Metrics!$A:$A,0)),"ID not found")</f>
        <v>8</v>
      </c>
      <c r="H6" s="10" t="str">
        <f aca="false">IFERROR(INDEX(Metrics!$F:$F,MATCH($D6,Metrics!$A:$A,0)),"ID not found")</f>
        <v>B params</v>
      </c>
      <c r="I6" s="11" t="n">
        <f aca="false">IFERROR(G6-E6,"")</f>
        <v>-62</v>
      </c>
      <c r="J6" s="12" t="n">
        <f aca="false">IFERROR(IF(E6=0,"",(G6-E6)/E6),"")</f>
        <v>-0.885714285714286</v>
      </c>
      <c r="K6" s="8" t="s">
        <v>497</v>
      </c>
      <c r="L6" s="3" t="str">
        <f aca="false">IFERROR(IF(K6="Higher",IF(G6&gt;E6,"Yes","No"),IF(G6&lt;E6,"Yes","No")),"")</f>
        <v>Yes</v>
      </c>
      <c r="M6" s="3"/>
    </row>
    <row r="7" customFormat="false" ht="15" hidden="false" customHeight="false" outlineLevel="0" collapsed="false">
      <c r="A7" s="3" t="s">
        <v>503</v>
      </c>
      <c r="B7" s="3" t="s">
        <v>504</v>
      </c>
      <c r="C7" s="3" t="s">
        <v>51</v>
      </c>
      <c r="D7" s="8" t="s">
        <v>196</v>
      </c>
      <c r="E7" s="9" t="n">
        <f aca="false">IFERROR(INDEX(Metrics!$D:$D,MATCH($D7,Metrics!$A:$A,0)),"ID not found")</f>
        <v>23.2</v>
      </c>
      <c r="F7" s="8" t="s">
        <v>199</v>
      </c>
      <c r="G7" s="9" t="n">
        <f aca="false">IFERROR(INDEX(Metrics!$D:$D,MATCH($F7,Metrics!$A:$A,0)),"ID not found")</f>
        <v>71.3</v>
      </c>
      <c r="H7" s="10" t="str">
        <f aca="false">IFERROR(INDEX(Metrics!$F:$F,MATCH($D7,Metrics!$A:$A,0)),"ID not found")</f>
        <v>%</v>
      </c>
      <c r="I7" s="11" t="n">
        <f aca="false">IFERROR(G7-E7,"")</f>
        <v>48.1</v>
      </c>
      <c r="J7" s="12" t="n">
        <f aca="false">IFERROR(IF(E7=0,"",(G7-E7)/E7),"")</f>
        <v>2.07327586206897</v>
      </c>
      <c r="K7" s="8" t="s">
        <v>491</v>
      </c>
      <c r="L7" s="3" t="str">
        <f aca="false">IFERROR(IF(K7="Higher",IF(G7&gt;E7,"Yes","No"),IF(G7&lt;E7,"Yes","No")),"")</f>
        <v>Yes</v>
      </c>
      <c r="M7" s="3"/>
    </row>
    <row r="8" customFormat="false" ht="23.85" hidden="false" customHeight="false" outlineLevel="0" collapsed="false">
      <c r="A8" s="3" t="s">
        <v>505</v>
      </c>
      <c r="B8" s="3" t="s">
        <v>506</v>
      </c>
      <c r="C8" s="3" t="s">
        <v>51</v>
      </c>
      <c r="D8" s="8" t="s">
        <v>218</v>
      </c>
      <c r="E8" s="9" t="n">
        <f aca="false">IFERROR(INDEX(Metrics!$D:$D,MATCH($D8,Metrics!$A:$A,0)),"ID not found")</f>
        <v>80.4</v>
      </c>
      <c r="F8" s="8" t="s">
        <v>226</v>
      </c>
      <c r="G8" s="9" t="n">
        <f aca="false">IFERROR(INDEX(Metrics!$D:$D,MATCH($F8,Metrics!$A:$A,0)),"ID not found")</f>
        <v>64.3</v>
      </c>
      <c r="H8" s="10" t="str">
        <f aca="false">IFERROR(INDEX(Metrics!$F:$F,MATCH($D8,Metrics!$A:$A,0)),"ID not found")</f>
        <v>%</v>
      </c>
      <c r="I8" s="11" t="n">
        <f aca="false">IFERROR(G8-E8,"")</f>
        <v>-16.1</v>
      </c>
      <c r="J8" s="12" t="n">
        <f aca="false">IFERROR(IF(E8=0,"",(G8-E8)/E8),"")</f>
        <v>-0.200248756218906</v>
      </c>
      <c r="K8" s="8" t="s">
        <v>491</v>
      </c>
      <c r="L8" s="3" t="str">
        <f aca="false">IFERROR(IF(K8="Higher",IF(G8&gt;E8,"Yes","No"),IF(G8&lt;E8,"Yes","No")),"")</f>
        <v>No</v>
      </c>
      <c r="M8" s="3" t="s">
        <v>507</v>
      </c>
    </row>
    <row r="9" customFormat="false" ht="15" hidden="false" customHeight="false" outlineLevel="0" collapsed="false">
      <c r="A9" s="3" t="s">
        <v>508</v>
      </c>
      <c r="B9" s="3" t="s">
        <v>509</v>
      </c>
      <c r="C9" s="3" t="s">
        <v>58</v>
      </c>
      <c r="D9" s="8" t="s">
        <v>242</v>
      </c>
      <c r="E9" s="9" t="n">
        <f aca="false">IFERROR(INDEX(Metrics!$D:$D,MATCH($D9,Metrics!$A:$A,0)),"ID not found")</f>
        <v>480</v>
      </c>
      <c r="F9" s="8" t="s">
        <v>245</v>
      </c>
      <c r="G9" s="9" t="n">
        <f aca="false">IFERROR(INDEX(Metrics!$D:$D,MATCH($F9,Metrics!$A:$A,0)),"ID not found")</f>
        <v>38</v>
      </c>
      <c r="H9" s="10" t="str">
        <f aca="false">IFERROR(INDEX(Metrics!$F:$F,MATCH($D9,Metrics!$A:$A,0)),"ID not found")</f>
        <v>MB/round</v>
      </c>
      <c r="I9" s="11" t="n">
        <f aca="false">IFERROR(G9-E9,"")</f>
        <v>-442</v>
      </c>
      <c r="J9" s="12" t="n">
        <f aca="false">IFERROR(IF(E9=0,"",(G9-E9)/E9),"")</f>
        <v>-0.920833333333333</v>
      </c>
      <c r="K9" s="8" t="s">
        <v>497</v>
      </c>
      <c r="L9" s="3" t="str">
        <f aca="false">IFERROR(IF(K9="Higher",IF(G9&gt;E9,"Yes","No"),IF(G9&lt;E9,"Yes","No")),"")</f>
        <v>Yes</v>
      </c>
      <c r="M9" s="3" t="s">
        <v>240</v>
      </c>
    </row>
    <row r="10" customFormat="false" ht="15" hidden="false" customHeight="false" outlineLevel="0" collapsed="false">
      <c r="A10" s="3" t="s">
        <v>510</v>
      </c>
      <c r="B10" s="3" t="s">
        <v>511</v>
      </c>
      <c r="C10" s="3" t="s">
        <v>58</v>
      </c>
      <c r="D10" s="8" t="s">
        <v>247</v>
      </c>
      <c r="E10" s="9" t="n">
        <f aca="false">IFERROR(INDEX(Metrics!$D:$D,MATCH($D10,Metrics!$A:$A,0)),"ID not found")</f>
        <v>142</v>
      </c>
      <c r="F10" s="8" t="s">
        <v>249</v>
      </c>
      <c r="G10" s="9" t="n">
        <f aca="false">IFERROR(INDEX(Metrics!$D:$D,MATCH($F10,Metrics!$A:$A,0)),"ID not found")</f>
        <v>67</v>
      </c>
      <c r="H10" s="10" t="str">
        <f aca="false">IFERROR(INDEX(Metrics!$F:$F,MATCH($D10,Metrics!$A:$A,0)),"ID not found")</f>
        <v>ms</v>
      </c>
      <c r="I10" s="11" t="n">
        <f aca="false">IFERROR(G10-E10,"")</f>
        <v>-75</v>
      </c>
      <c r="J10" s="12" t="n">
        <f aca="false">IFERROR(IF(E10=0,"",(G10-E10)/E10),"")</f>
        <v>-0.528169014084507</v>
      </c>
      <c r="K10" s="8" t="s">
        <v>497</v>
      </c>
      <c r="L10" s="3" t="str">
        <f aca="false">IFERROR(IF(K10="Higher",IF(G10&gt;E10,"Yes","No"),IF(G10&lt;E10,"Yes","No")),"")</f>
        <v>Yes</v>
      </c>
      <c r="M10" s="3" t="s">
        <v>240</v>
      </c>
    </row>
    <row r="11" customFormat="false" ht="15" hidden="false" customHeight="false" outlineLevel="0" collapsed="false">
      <c r="A11" s="3" t="s">
        <v>512</v>
      </c>
      <c r="B11" s="3" t="s">
        <v>513</v>
      </c>
      <c r="C11" s="3" t="s">
        <v>58</v>
      </c>
      <c r="D11" s="8" t="s">
        <v>251</v>
      </c>
      <c r="E11" s="9" t="n">
        <f aca="false">IFERROR(INDEX(Metrics!$D:$D,MATCH($D11,Metrics!$A:$A,0)),"ID not found")</f>
        <v>93.8</v>
      </c>
      <c r="F11" s="8" t="s">
        <v>253</v>
      </c>
      <c r="G11" s="9" t="n">
        <f aca="false">IFERROR(INDEX(Metrics!$D:$D,MATCH($F11,Metrics!$A:$A,0)),"ID not found")</f>
        <v>92.6</v>
      </c>
      <c r="H11" s="10" t="str">
        <f aca="false">IFERROR(INDEX(Metrics!$F:$F,MATCH($D11,Metrics!$A:$A,0)),"ID not found")</f>
        <v>%</v>
      </c>
      <c r="I11" s="11" t="n">
        <f aca="false">IFERROR(G11-E11,"")</f>
        <v>-1.2</v>
      </c>
      <c r="J11" s="12" t="n">
        <f aca="false">IFERROR(IF(E11=0,"",(G11-E11)/E11),"")</f>
        <v>-0.0127931769722815</v>
      </c>
      <c r="K11" s="8" t="s">
        <v>491</v>
      </c>
      <c r="L11" s="3" t="str">
        <f aca="false">IFERROR(IF(K11="Higher",IF(G11&gt;E11,"Yes","No"),IF(G11&lt;E11,"Yes","No")),"")</f>
        <v>No</v>
      </c>
      <c r="M11" s="3" t="s">
        <v>514</v>
      </c>
    </row>
    <row r="12" customFormat="false" ht="15" hidden="false" customHeight="false" outlineLevel="0" collapsed="false">
      <c r="A12" s="3" t="s">
        <v>515</v>
      </c>
      <c r="B12" s="3" t="s">
        <v>516</v>
      </c>
      <c r="C12" s="3" t="s">
        <v>82</v>
      </c>
      <c r="D12" s="8" t="s">
        <v>376</v>
      </c>
      <c r="E12" s="9" t="n">
        <f aca="false">IFERROR(INDEX(Metrics!$D:$D,MATCH($D12,Metrics!$A:$A,0)),"ID not found")</f>
        <v>0.0663</v>
      </c>
      <c r="F12" s="8" t="s">
        <v>381</v>
      </c>
      <c r="G12" s="9" t="n">
        <f aca="false">IFERROR(INDEX(Metrics!$D:$D,MATCH($F12,Metrics!$A:$A,0)),"ID not found")</f>
        <v>0.023</v>
      </c>
      <c r="H12" s="10" t="str">
        <f aca="false">IFERROR(INDEX(Metrics!$F:$F,MATCH($D12,Metrics!$A:$A,0)),"ID not found")</f>
        <v>J/task</v>
      </c>
      <c r="I12" s="11" t="n">
        <f aca="false">IFERROR(G12-E12,"")</f>
        <v>-0.0433</v>
      </c>
      <c r="J12" s="12" t="n">
        <f aca="false">IFERROR(IF(E12=0,"",(G12-E12)/E12),"")</f>
        <v>-0.653092006033183</v>
      </c>
      <c r="K12" s="8" t="s">
        <v>497</v>
      </c>
      <c r="L12" s="3" t="str">
        <f aca="false">IFERROR(IF(K12="Higher",IF(G12&gt;E12,"Yes","No"),IF(G12&lt;E12,"Yes","No")),"")</f>
        <v>Yes</v>
      </c>
      <c r="M12" s="3" t="s">
        <v>517</v>
      </c>
    </row>
    <row r="13" customFormat="false" ht="15" hidden="false" customHeight="false" outlineLevel="0" collapsed="false">
      <c r="A13" s="3" t="s">
        <v>518</v>
      </c>
      <c r="B13" s="3" t="s">
        <v>519</v>
      </c>
      <c r="C13" s="3" t="s">
        <v>82</v>
      </c>
      <c r="D13" s="8" t="s">
        <v>383</v>
      </c>
      <c r="E13" s="9" t="n">
        <f aca="false">IFERROR(INDEX(Metrics!$D:$D,MATCH($D13,Metrics!$A:$A,0)),"ID not found")</f>
        <v>0.79</v>
      </c>
      <c r="F13" s="8" t="s">
        <v>387</v>
      </c>
      <c r="G13" s="9" t="n">
        <f aca="false">IFERROR(INDEX(Metrics!$D:$D,MATCH($F13,Metrics!$A:$A,0)),"ID not found")</f>
        <v>0.3734</v>
      </c>
      <c r="H13" s="10" t="str">
        <f aca="false">IFERROR(INDEX(Metrics!$F:$F,MATCH($D13,Metrics!$A:$A,0)),"ID not found")</f>
        <v>index</v>
      </c>
      <c r="I13" s="11" t="n">
        <f aca="false">IFERROR(G13-E13,"")</f>
        <v>-0.4166</v>
      </c>
      <c r="J13" s="12" t="n">
        <f aca="false">IFERROR(IF(E13=0,"",(G13-E13)/E13),"")</f>
        <v>-0.527341772151899</v>
      </c>
      <c r="K13" s="8" t="s">
        <v>491</v>
      </c>
      <c r="L13" s="3" t="str">
        <f aca="false">IFERROR(IF(K13="Higher",IF(G13&gt;E13,"Yes","No"),IF(G13&lt;E13,"Yes","No")),"")</f>
        <v>No</v>
      </c>
      <c r="M13" s="3" t="s">
        <v>520</v>
      </c>
    </row>
    <row r="14" customFormat="false" ht="15" hidden="false" customHeight="false" outlineLevel="0" collapsed="false">
      <c r="A14" s="3" t="s">
        <v>521</v>
      </c>
      <c r="B14" s="3" t="s">
        <v>522</v>
      </c>
      <c r="C14" s="3" t="s">
        <v>82</v>
      </c>
      <c r="D14" s="8" t="s">
        <v>393</v>
      </c>
      <c r="E14" s="9" t="n">
        <f aca="false">IFERROR(INDEX(Metrics!$D:$D,MATCH($D14,Metrics!$A:$A,0)),"ID not found")</f>
        <v>12.38</v>
      </c>
      <c r="F14" s="8" t="s">
        <v>395</v>
      </c>
      <c r="G14" s="9" t="n">
        <f aca="false">IFERROR(INDEX(Metrics!$D:$D,MATCH($F14,Metrics!$A:$A,0)),"ID not found")</f>
        <v>90.01</v>
      </c>
      <c r="H14" s="10" t="str">
        <f aca="false">IFERROR(INDEX(Metrics!$F:$F,MATCH($D14,Metrics!$A:$A,0)),"ID not found")</f>
        <v>%</v>
      </c>
      <c r="I14" s="11" t="n">
        <f aca="false">IFERROR(G14-E14,"")</f>
        <v>77.63</v>
      </c>
      <c r="J14" s="12" t="n">
        <f aca="false">IFERROR(IF(E14=0,"",(G14-E14)/E14),"")</f>
        <v>6.27059773828756</v>
      </c>
      <c r="K14" s="8" t="s">
        <v>491</v>
      </c>
      <c r="L14" s="3" t="str">
        <f aca="false">IFERROR(IF(K14="Higher",IF(G14&gt;E14,"Yes","No"),IF(G14&lt;E14,"Yes","No")),"")</f>
        <v>Yes</v>
      </c>
      <c r="M14" s="3"/>
    </row>
    <row r="15" customFormat="false" ht="15" hidden="false" customHeight="false" outlineLevel="0" collapsed="false">
      <c r="A15" s="3" t="s">
        <v>523</v>
      </c>
      <c r="B15" s="3" t="s">
        <v>524</v>
      </c>
      <c r="C15" s="3" t="s">
        <v>98</v>
      </c>
      <c r="D15" s="8" t="s">
        <v>397</v>
      </c>
      <c r="E15" s="9" t="n">
        <f aca="false">IFERROR(INDEX(Metrics!$D:$D,MATCH($D15,Metrics!$A:$A,0)),"ID not found")</f>
        <v>10.4</v>
      </c>
      <c r="F15" s="8" t="s">
        <v>403</v>
      </c>
      <c r="G15" s="9" t="n">
        <f aca="false">IFERROR(INDEX(Metrics!$D:$D,MATCH($F15,Metrics!$A:$A,0)),"ID not found")</f>
        <v>16</v>
      </c>
      <c r="H15" s="10" t="str">
        <f aca="false">IFERROR(INDEX(Metrics!$F:$F,MATCH($D15,Metrics!$A:$A,0)),"ID not found")</f>
        <v>%</v>
      </c>
      <c r="I15" s="11" t="n">
        <f aca="false">IFERROR(G15-E15,"")</f>
        <v>5.6</v>
      </c>
      <c r="J15" s="12" t="n">
        <f aca="false">IFERROR(IF(E15=0,"",(G15-E15)/E15),"")</f>
        <v>0.538461538461538</v>
      </c>
      <c r="K15" s="8" t="s">
        <v>491</v>
      </c>
      <c r="L15" s="3" t="str">
        <f aca="false">IFERROR(IF(K15="Higher",IF(G15&gt;E15,"Yes","No"),IF(G15&lt;E15,"Yes","No")),"")</f>
        <v>Yes</v>
      </c>
      <c r="M15" s="3"/>
    </row>
    <row r="16" customFormat="false" ht="15" hidden="false" customHeight="false" outlineLevel="0" collapsed="false">
      <c r="A16" s="3" t="s">
        <v>525</v>
      </c>
      <c r="B16" s="3" t="s">
        <v>526</v>
      </c>
      <c r="C16" s="3" t="s">
        <v>98</v>
      </c>
      <c r="D16" s="8" t="s">
        <v>403</v>
      </c>
      <c r="E16" s="9" t="n">
        <f aca="false">IFERROR(INDEX(Metrics!$D:$D,MATCH($D16,Metrics!$A:$A,0)),"ID not found")</f>
        <v>16</v>
      </c>
      <c r="F16" s="8" t="s">
        <v>405</v>
      </c>
      <c r="G16" s="9" t="n">
        <f aca="false">IFERROR(INDEX(Metrics!$D:$D,MATCH($F16,Metrics!$A:$A,0)),"ID not found")</f>
        <v>39</v>
      </c>
      <c r="H16" s="10" t="str">
        <f aca="false">IFERROR(INDEX(Metrics!$F:$F,MATCH($D16,Metrics!$A:$A,0)),"ID not found")</f>
        <v>%</v>
      </c>
      <c r="I16" s="11" t="n">
        <f aca="false">IFERROR(G16-E16,"")</f>
        <v>23</v>
      </c>
      <c r="J16" s="12" t="n">
        <f aca="false">IFERROR(IF(E16=0,"",(G16-E16)/E16),"")</f>
        <v>1.4375</v>
      </c>
      <c r="K16" s="8" t="s">
        <v>491</v>
      </c>
      <c r="L16" s="3" t="str">
        <f aca="false">IFERROR(IF(K16="Higher",IF(G16&gt;E16,"Yes","No"),IF(G16&lt;E16,"Yes","No")),"")</f>
        <v>Yes</v>
      </c>
      <c r="M16" s="3"/>
    </row>
    <row r="17" customFormat="false" ht="15" hidden="false" customHeight="false" outlineLevel="0" collapsed="false">
      <c r="A17" s="3" t="s">
        <v>527</v>
      </c>
      <c r="B17" s="3" t="s">
        <v>528</v>
      </c>
      <c r="C17" s="3" t="s">
        <v>98</v>
      </c>
      <c r="D17" s="8" t="s">
        <v>403</v>
      </c>
      <c r="E17" s="9" t="n">
        <f aca="false">IFERROR(INDEX(Metrics!$D:$D,MATCH($D17,Metrics!$A:$A,0)),"ID not found")</f>
        <v>16</v>
      </c>
      <c r="F17" s="8" t="s">
        <v>407</v>
      </c>
      <c r="G17" s="9" t="n">
        <f aca="false">IFERROR(INDEX(Metrics!$D:$D,MATCH($F17,Metrics!$A:$A,0)),"ID not found")</f>
        <v>61.5</v>
      </c>
      <c r="H17" s="10" t="str">
        <f aca="false">IFERROR(INDEX(Metrics!$F:$F,MATCH($D17,Metrics!$A:$A,0)),"ID not found")</f>
        <v>%</v>
      </c>
      <c r="I17" s="11" t="n">
        <f aca="false">IFERROR(G17-E17,"")</f>
        <v>45.5</v>
      </c>
      <c r="J17" s="12" t="n">
        <f aca="false">IFERROR(IF(E17=0,"",(G17-E17)/E17),"")</f>
        <v>2.84375</v>
      </c>
      <c r="K17" s="8" t="s">
        <v>491</v>
      </c>
      <c r="L17" s="3" t="str">
        <f aca="false">IFERROR(IF(K17="Higher",IF(G17&gt;E17,"Yes","No"),IF(G17&lt;E17,"Yes","No")),"")</f>
        <v>Yes</v>
      </c>
      <c r="M17" s="3"/>
    </row>
    <row r="18" customFormat="false" ht="15" hidden="false" customHeight="false" outlineLevel="0" collapsed="false">
      <c r="A18" s="3" t="s">
        <v>529</v>
      </c>
      <c r="B18" s="3" t="s">
        <v>530</v>
      </c>
      <c r="C18" s="3" t="s">
        <v>98</v>
      </c>
      <c r="D18" s="8" t="s">
        <v>409</v>
      </c>
      <c r="E18" s="9" t="n">
        <f aca="false">IFERROR(INDEX(Metrics!$D:$D,MATCH($D18,Metrics!$A:$A,0)),"ID not found")</f>
        <v>16</v>
      </c>
      <c r="F18" s="8" t="s">
        <v>412</v>
      </c>
      <c r="G18" s="9" t="n">
        <f aca="false">IFERROR(INDEX(Metrics!$D:$D,MATCH($F18,Metrics!$A:$A,0)),"ID not found")</f>
        <v>60.8</v>
      </c>
      <c r="H18" s="10" t="str">
        <f aca="false">IFERROR(INDEX(Metrics!$F:$F,MATCH($D18,Metrics!$A:$A,0)),"ID not found")</f>
        <v>%</v>
      </c>
      <c r="I18" s="11" t="n">
        <f aca="false">IFERROR(G18-E18,"")</f>
        <v>44.8</v>
      </c>
      <c r="J18" s="12" t="n">
        <f aca="false">IFERROR(IF(E18=0,"",(G18-E18)/E18),"")</f>
        <v>2.8</v>
      </c>
      <c r="K18" s="8" t="s">
        <v>491</v>
      </c>
      <c r="L18" s="3" t="str">
        <f aca="false">IFERROR(IF(K18="Higher",IF(G18&gt;E18,"Yes","No"),IF(G18&lt;E18,"Yes","No")),"")</f>
        <v>Yes</v>
      </c>
      <c r="M18" s="3" t="s">
        <v>531</v>
      </c>
    </row>
    <row r="19" customFormat="false" ht="15" hidden="false" customHeight="false" outlineLevel="0" collapsed="false">
      <c r="A19" s="3" t="s">
        <v>532</v>
      </c>
      <c r="B19" s="3" t="s">
        <v>533</v>
      </c>
      <c r="C19" s="3" t="s">
        <v>98</v>
      </c>
      <c r="D19" s="8" t="s">
        <v>409</v>
      </c>
      <c r="E19" s="9" t="n">
        <f aca="false">IFERROR(INDEX(Metrics!$D:$D,MATCH($D19,Metrics!$A:$A,0)),"ID not found")</f>
        <v>16</v>
      </c>
      <c r="F19" s="8" t="s">
        <v>414</v>
      </c>
      <c r="G19" s="9" t="n">
        <f aca="false">IFERROR(INDEX(Metrics!$D:$D,MATCH($F19,Metrics!$A:$A,0)),"ID not found")</f>
        <v>28.8</v>
      </c>
      <c r="H19" s="10" t="str">
        <f aca="false">IFERROR(INDEX(Metrics!$F:$F,MATCH($D19,Metrics!$A:$A,0)),"ID not found")</f>
        <v>%</v>
      </c>
      <c r="I19" s="11" t="n">
        <f aca="false">IFERROR(G19-E19,"")</f>
        <v>12.8</v>
      </c>
      <c r="J19" s="12" t="n">
        <f aca="false">IFERROR(IF(E19=0,"",(G19-E19)/E19),"")</f>
        <v>0.8</v>
      </c>
      <c r="K19" s="8" t="s">
        <v>491</v>
      </c>
      <c r="L19" s="3" t="str">
        <f aca="false">IFERROR(IF(K19="Higher",IF(G19&gt;E19,"Yes","No"),IF(G19&lt;E19,"Yes","No")),"")</f>
        <v>Yes</v>
      </c>
      <c r="M19" s="3"/>
    </row>
    <row r="20" customFormat="false" ht="15" hidden="false" customHeight="false" outlineLevel="0" collapsed="false">
      <c r="A20" s="3" t="s">
        <v>534</v>
      </c>
      <c r="B20" s="3" t="s">
        <v>535</v>
      </c>
      <c r="C20" s="3" t="s">
        <v>104</v>
      </c>
      <c r="D20" s="8" t="s">
        <v>441</v>
      </c>
      <c r="E20" s="9" t="n">
        <f aca="false">IFERROR(INDEX(Metrics!$D:$D,MATCH($D20,Metrics!$A:$A,0)),"ID not found")</f>
        <v>98.1</v>
      </c>
      <c r="F20" s="8" t="s">
        <v>447</v>
      </c>
      <c r="G20" s="9" t="n">
        <f aca="false">IFERROR(INDEX(Metrics!$D:$D,MATCH($F20,Metrics!$A:$A,0)),"ID not found")</f>
        <v>85.1</v>
      </c>
      <c r="H20" s="10" t="str">
        <f aca="false">IFERROR(INDEX(Metrics!$F:$F,MATCH($D20,Metrics!$A:$A,0)),"ID not found")</f>
        <v>%</v>
      </c>
      <c r="I20" s="11" t="n">
        <f aca="false">IFERROR(G20-E20,"")</f>
        <v>-13</v>
      </c>
      <c r="J20" s="12" t="n">
        <f aca="false">IFERROR(IF(E20=0,"",(G20-E20)/E20),"")</f>
        <v>-0.132517838939857</v>
      </c>
      <c r="K20" s="8" t="s">
        <v>491</v>
      </c>
      <c r="L20" s="3" t="str">
        <f aca="false">IFERROR(IF(K20="Higher",IF(G20&gt;E20,"Yes","No"),IF(G20&lt;E20,"Yes","No")),"")</f>
        <v>No</v>
      </c>
      <c r="M20" s="3"/>
    </row>
    <row r="21" customFormat="false" ht="15" hidden="false" customHeight="false" outlineLevel="0" collapsed="false">
      <c r="A21" s="3" t="s">
        <v>536</v>
      </c>
      <c r="B21" s="3" t="s">
        <v>537</v>
      </c>
      <c r="C21" s="3" t="s">
        <v>104</v>
      </c>
      <c r="D21" s="8" t="s">
        <v>447</v>
      </c>
      <c r="E21" s="9" t="n">
        <f aca="false">IFERROR(INDEX(Metrics!$D:$D,MATCH($D21,Metrics!$A:$A,0)),"ID not found")</f>
        <v>85.1</v>
      </c>
      <c r="F21" s="8" t="s">
        <v>450</v>
      </c>
      <c r="G21" s="9" t="n">
        <f aca="false">IFERROR(INDEX(Metrics!$D:$D,MATCH($F21,Metrics!$A:$A,0)),"ID not found")</f>
        <v>72.9</v>
      </c>
      <c r="H21" s="10" t="str">
        <f aca="false">IFERROR(INDEX(Metrics!$F:$F,MATCH($D21,Metrics!$A:$A,0)),"ID not found")</f>
        <v>%</v>
      </c>
      <c r="I21" s="11" t="n">
        <f aca="false">IFERROR(G21-E21,"")</f>
        <v>-12.2</v>
      </c>
      <c r="J21" s="12" t="n">
        <f aca="false">IFERROR(IF(E21=0,"",(G21-E21)/E21),"")</f>
        <v>-0.143360752056404</v>
      </c>
      <c r="K21" s="8" t="s">
        <v>491</v>
      </c>
      <c r="L21" s="3" t="str">
        <f aca="false">IFERROR(IF(K21="Higher",IF(G21&gt;E21,"Yes","No"),IF(G21&lt;E21,"Yes","No")),"")</f>
        <v>No</v>
      </c>
      <c r="M21" s="3"/>
    </row>
    <row r="22" customFormat="false" ht="15" hidden="false" customHeight="false" outlineLevel="0" collapsed="false">
      <c r="A22" s="3" t="s">
        <v>538</v>
      </c>
      <c r="B22" s="3" t="s">
        <v>539</v>
      </c>
      <c r="C22" s="3" t="s">
        <v>104</v>
      </c>
      <c r="D22" s="8" t="s">
        <v>453</v>
      </c>
      <c r="E22" s="9" t="n">
        <f aca="false">IFERROR(INDEX(Metrics!$D:$D,MATCH($D22,Metrics!$A:$A,0)),"ID not found")</f>
        <v>85.1</v>
      </c>
      <c r="F22" s="8" t="s">
        <v>463</v>
      </c>
      <c r="G22" s="9" t="n">
        <f aca="false">IFERROR(INDEX(Metrics!$D:$D,MATCH($F22,Metrics!$A:$A,0)),"ID not found")</f>
        <v>69.7</v>
      </c>
      <c r="H22" s="10" t="str">
        <f aca="false">IFERROR(INDEX(Metrics!$F:$F,MATCH($D22,Metrics!$A:$A,0)),"ID not found")</f>
        <v>%</v>
      </c>
      <c r="I22" s="11" t="n">
        <f aca="false">IFERROR(G22-E22,"")</f>
        <v>-15.4</v>
      </c>
      <c r="J22" s="12" t="n">
        <f aca="false">IFERROR(IF(E22=0,"",(G22-E22)/E22),"")</f>
        <v>-0.18096357226792</v>
      </c>
      <c r="K22" s="8" t="s">
        <v>491</v>
      </c>
      <c r="L22" s="3" t="str">
        <f aca="false">IFERROR(IF(K22="Higher",IF(G22&gt;E22,"Yes","No"),IF(G22&lt;E22,"Yes","No")),"")</f>
        <v>No</v>
      </c>
      <c r="M22" s="3"/>
    </row>
    <row r="23" customFormat="false" ht="15" hidden="false" customHeight="false" outlineLevel="0" collapsed="false">
      <c r="A23" s="3" t="s">
        <v>540</v>
      </c>
      <c r="B23" s="3" t="s">
        <v>541</v>
      </c>
      <c r="C23" s="3" t="s">
        <v>104</v>
      </c>
      <c r="D23" s="8" t="s">
        <v>471</v>
      </c>
      <c r="E23" s="9" t="n">
        <f aca="false">IFERROR(INDEX(Metrics!$D:$D,MATCH($D23,Metrics!$A:$A,0)),"ID not found")</f>
        <v>98.1</v>
      </c>
      <c r="F23" s="8" t="s">
        <v>478</v>
      </c>
      <c r="G23" s="9" t="n">
        <f aca="false">IFERROR(INDEX(Metrics!$D:$D,MATCH($F23,Metrics!$A:$A,0)),"ID not found")</f>
        <v>78.1</v>
      </c>
      <c r="H23" s="10" t="str">
        <f aca="false">IFERROR(INDEX(Metrics!$F:$F,MATCH($D23,Metrics!$A:$A,0)),"ID not found")</f>
        <v>%</v>
      </c>
      <c r="I23" s="11" t="n">
        <f aca="false">IFERROR(G23-E23,"")</f>
        <v>-20</v>
      </c>
      <c r="J23" s="12" t="n">
        <f aca="false">IFERROR(IF(E23=0,"",(G23-E23)/E23),"")</f>
        <v>-0.203873598369011</v>
      </c>
      <c r="K23" s="8" t="s">
        <v>491</v>
      </c>
      <c r="L23" s="3" t="str">
        <f aca="false">IFERROR(IF(K23="Higher",IF(G23&gt;E23,"Yes","No"),IF(G23&lt;E23,"Yes","No")),"")</f>
        <v>No</v>
      </c>
      <c r="M23" s="3"/>
    </row>
  </sheetData>
  <dataValidations count="1">
    <dataValidation allowBlank="false" errorStyle="stop" operator="between" showDropDown="false" showErrorMessage="false" showInputMessage="false" sqref="K2:K82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54"/>
  </cols>
  <sheetData>
    <row r="1" customFormat="false" ht="35.05" hidden="false" customHeight="false" outlineLevel="0" collapsed="false">
      <c r="A1" s="7" t="s">
        <v>116</v>
      </c>
      <c r="B1" s="7" t="s">
        <v>117</v>
      </c>
      <c r="C1" s="7" t="s">
        <v>542</v>
      </c>
      <c r="D1" s="7" t="s">
        <v>543</v>
      </c>
      <c r="E1" s="7" t="s">
        <v>123</v>
      </c>
      <c r="F1" s="7" t="s">
        <v>544</v>
      </c>
      <c r="G1" s="7" t="s">
        <v>545</v>
      </c>
    </row>
    <row r="2" customFormat="false" ht="23.85" hidden="false" customHeight="false" outlineLevel="0" collapsed="false">
      <c r="A2" s="3" t="s">
        <v>546</v>
      </c>
      <c r="B2" s="3" t="s">
        <v>35</v>
      </c>
      <c r="C2" s="3" t="s">
        <v>547</v>
      </c>
      <c r="D2" s="3" t="s">
        <v>548</v>
      </c>
      <c r="E2" s="3" t="s">
        <v>258</v>
      </c>
      <c r="F2" s="4" t="s">
        <v>549</v>
      </c>
      <c r="G2" s="3"/>
    </row>
    <row r="3" customFormat="false" ht="15" hidden="false" customHeight="false" outlineLevel="0" collapsed="false">
      <c r="A3" s="3" t="s">
        <v>550</v>
      </c>
      <c r="B3" s="3" t="s">
        <v>35</v>
      </c>
      <c r="C3" s="3" t="s">
        <v>551</v>
      </c>
      <c r="D3" s="3" t="s">
        <v>552</v>
      </c>
      <c r="E3" s="3" t="s">
        <v>553</v>
      </c>
      <c r="F3" s="4" t="s">
        <v>40</v>
      </c>
      <c r="G3" s="3" t="s">
        <v>554</v>
      </c>
    </row>
    <row r="4" customFormat="false" ht="15" hidden="false" customHeight="false" outlineLevel="0" collapsed="false">
      <c r="A4" s="3" t="s">
        <v>555</v>
      </c>
      <c r="B4" s="3" t="s">
        <v>35</v>
      </c>
      <c r="C4" s="3" t="s">
        <v>556</v>
      </c>
      <c r="D4" s="3" t="s">
        <v>552</v>
      </c>
      <c r="E4" s="3" t="s">
        <v>557</v>
      </c>
      <c r="F4" s="4" t="s">
        <v>40</v>
      </c>
      <c r="G4" s="3"/>
    </row>
    <row r="5" customFormat="false" ht="15" hidden="false" customHeight="false" outlineLevel="0" collapsed="false">
      <c r="A5" s="3" t="s">
        <v>558</v>
      </c>
      <c r="B5" s="3" t="s">
        <v>35</v>
      </c>
      <c r="C5" s="3" t="s">
        <v>559</v>
      </c>
      <c r="D5" s="3" t="s">
        <v>560</v>
      </c>
      <c r="E5" s="3" t="s">
        <v>561</v>
      </c>
      <c r="F5" s="4" t="s">
        <v>40</v>
      </c>
      <c r="G5" s="3"/>
    </row>
    <row r="6" customFormat="false" ht="15" hidden="false" customHeight="false" outlineLevel="0" collapsed="false">
      <c r="A6" s="3" t="s">
        <v>562</v>
      </c>
      <c r="B6" s="3" t="s">
        <v>35</v>
      </c>
      <c r="C6" s="3" t="s">
        <v>563</v>
      </c>
      <c r="D6" s="3" t="s">
        <v>548</v>
      </c>
      <c r="E6" s="3" t="s">
        <v>564</v>
      </c>
      <c r="F6" s="4" t="s">
        <v>40</v>
      </c>
      <c r="G6" s="3" t="s">
        <v>565</v>
      </c>
    </row>
    <row r="7" customFormat="false" ht="15" hidden="false" customHeight="false" outlineLevel="0" collapsed="false">
      <c r="A7" s="3" t="s">
        <v>566</v>
      </c>
      <c r="B7" s="3" t="s">
        <v>43</v>
      </c>
      <c r="C7" s="3" t="s">
        <v>567</v>
      </c>
      <c r="D7" s="3" t="s">
        <v>552</v>
      </c>
      <c r="E7" s="3" t="s">
        <v>163</v>
      </c>
      <c r="F7" s="4" t="s">
        <v>549</v>
      </c>
      <c r="G7" s="3"/>
    </row>
    <row r="8" customFormat="false" ht="15" hidden="false" customHeight="false" outlineLevel="0" collapsed="false">
      <c r="A8" s="3" t="s">
        <v>568</v>
      </c>
      <c r="B8" s="3" t="s">
        <v>43</v>
      </c>
      <c r="C8" s="3" t="s">
        <v>569</v>
      </c>
      <c r="D8" s="3" t="s">
        <v>552</v>
      </c>
      <c r="E8" s="3" t="s">
        <v>163</v>
      </c>
      <c r="F8" s="4" t="s">
        <v>549</v>
      </c>
      <c r="G8" s="3"/>
    </row>
    <row r="9" customFormat="false" ht="23.85" hidden="false" customHeight="false" outlineLevel="0" collapsed="false">
      <c r="A9" s="3" t="s">
        <v>570</v>
      </c>
      <c r="B9" s="3" t="s">
        <v>43</v>
      </c>
      <c r="C9" s="3" t="s">
        <v>571</v>
      </c>
      <c r="D9" s="3" t="s">
        <v>572</v>
      </c>
      <c r="E9" s="3" t="s">
        <v>163</v>
      </c>
      <c r="F9" s="4" t="s">
        <v>573</v>
      </c>
      <c r="G9" s="3" t="s">
        <v>574</v>
      </c>
    </row>
    <row r="10" customFormat="false" ht="15" hidden="false" customHeight="false" outlineLevel="0" collapsed="false">
      <c r="A10" s="3" t="s">
        <v>575</v>
      </c>
      <c r="B10" s="3" t="s">
        <v>43</v>
      </c>
      <c r="C10" s="3" t="s">
        <v>576</v>
      </c>
      <c r="D10" s="3" t="s">
        <v>552</v>
      </c>
      <c r="E10" s="3" t="s">
        <v>577</v>
      </c>
      <c r="F10" s="4" t="s">
        <v>40</v>
      </c>
      <c r="G10" s="3"/>
    </row>
    <row r="11" customFormat="false" ht="15" hidden="false" customHeight="false" outlineLevel="0" collapsed="false">
      <c r="A11" s="3" t="s">
        <v>578</v>
      </c>
      <c r="B11" s="3" t="s">
        <v>51</v>
      </c>
      <c r="C11" s="3" t="s">
        <v>579</v>
      </c>
      <c r="D11" s="3" t="s">
        <v>580</v>
      </c>
      <c r="E11" s="3" t="s">
        <v>581</v>
      </c>
      <c r="F11" s="4" t="s">
        <v>573</v>
      </c>
      <c r="G11" s="3" t="s">
        <v>582</v>
      </c>
    </row>
    <row r="12" customFormat="false" ht="15" hidden="false" customHeight="false" outlineLevel="0" collapsed="false">
      <c r="A12" s="3" t="s">
        <v>583</v>
      </c>
      <c r="B12" s="3" t="s">
        <v>51</v>
      </c>
      <c r="C12" s="3" t="s">
        <v>584</v>
      </c>
      <c r="D12" s="3" t="s">
        <v>548</v>
      </c>
      <c r="E12" s="3" t="s">
        <v>585</v>
      </c>
      <c r="F12" s="4" t="s">
        <v>40</v>
      </c>
      <c r="G12" s="3" t="s">
        <v>586</v>
      </c>
    </row>
    <row r="13" customFormat="false" ht="15" hidden="false" customHeight="false" outlineLevel="0" collapsed="false">
      <c r="A13" s="3" t="s">
        <v>587</v>
      </c>
      <c r="B13" s="3" t="s">
        <v>51</v>
      </c>
      <c r="C13" s="3" t="s">
        <v>588</v>
      </c>
      <c r="D13" s="3" t="s">
        <v>548</v>
      </c>
      <c r="E13" s="3" t="s">
        <v>589</v>
      </c>
      <c r="F13" s="4" t="s">
        <v>40</v>
      </c>
      <c r="G13" s="3"/>
    </row>
    <row r="14" customFormat="false" ht="15" hidden="false" customHeight="false" outlineLevel="0" collapsed="false">
      <c r="A14" s="3" t="s">
        <v>590</v>
      </c>
      <c r="B14" s="3" t="s">
        <v>51</v>
      </c>
      <c r="C14" s="3" t="s">
        <v>591</v>
      </c>
      <c r="D14" s="3" t="s">
        <v>592</v>
      </c>
      <c r="E14" s="3" t="s">
        <v>593</v>
      </c>
      <c r="F14" s="4" t="s">
        <v>40</v>
      </c>
      <c r="G14" s="3"/>
    </row>
    <row r="15" customFormat="false" ht="15" hidden="false" customHeight="false" outlineLevel="0" collapsed="false">
      <c r="A15" s="3" t="s">
        <v>594</v>
      </c>
      <c r="B15" s="3" t="s">
        <v>58</v>
      </c>
      <c r="C15" s="3" t="s">
        <v>595</v>
      </c>
      <c r="D15" s="3" t="s">
        <v>548</v>
      </c>
      <c r="E15" s="3" t="s">
        <v>596</v>
      </c>
      <c r="F15" s="4" t="s">
        <v>549</v>
      </c>
      <c r="G15" s="3"/>
    </row>
    <row r="16" customFormat="false" ht="23.85" hidden="false" customHeight="false" outlineLevel="0" collapsed="false">
      <c r="A16" s="3" t="s">
        <v>597</v>
      </c>
      <c r="B16" s="3" t="s">
        <v>58</v>
      </c>
      <c r="C16" s="3" t="s">
        <v>598</v>
      </c>
      <c r="D16" s="3" t="s">
        <v>572</v>
      </c>
      <c r="E16" s="3" t="s">
        <v>599</v>
      </c>
      <c r="F16" s="4" t="s">
        <v>573</v>
      </c>
      <c r="G16" s="3" t="s">
        <v>600</v>
      </c>
    </row>
    <row r="17" customFormat="false" ht="15" hidden="false" customHeight="false" outlineLevel="0" collapsed="false">
      <c r="A17" s="3" t="s">
        <v>601</v>
      </c>
      <c r="B17" s="3" t="s">
        <v>64</v>
      </c>
      <c r="C17" s="3" t="s">
        <v>602</v>
      </c>
      <c r="D17" s="3" t="s">
        <v>603</v>
      </c>
      <c r="E17" s="3" t="s">
        <v>258</v>
      </c>
      <c r="F17" s="4" t="s">
        <v>573</v>
      </c>
      <c r="G17" s="3" t="s">
        <v>604</v>
      </c>
    </row>
    <row r="18" customFormat="false" ht="15" hidden="false" customHeight="false" outlineLevel="0" collapsed="false">
      <c r="A18" s="3" t="s">
        <v>605</v>
      </c>
      <c r="B18" s="3" t="s">
        <v>64</v>
      </c>
      <c r="C18" s="3" t="s">
        <v>606</v>
      </c>
      <c r="D18" s="3" t="s">
        <v>560</v>
      </c>
      <c r="E18" s="3" t="s">
        <v>265</v>
      </c>
      <c r="F18" s="4" t="s">
        <v>549</v>
      </c>
      <c r="G18" s="3"/>
    </row>
    <row r="19" customFormat="false" ht="15" hidden="false" customHeight="false" outlineLevel="0" collapsed="false">
      <c r="A19" s="3" t="s">
        <v>607</v>
      </c>
      <c r="B19" s="3" t="s">
        <v>64</v>
      </c>
      <c r="C19" s="3" t="s">
        <v>608</v>
      </c>
      <c r="D19" s="3" t="s">
        <v>548</v>
      </c>
      <c r="E19" s="3" t="s">
        <v>609</v>
      </c>
      <c r="F19" s="4" t="s">
        <v>549</v>
      </c>
      <c r="G19" s="3"/>
    </row>
    <row r="20" customFormat="false" ht="15" hidden="false" customHeight="false" outlineLevel="0" collapsed="false">
      <c r="A20" s="3" t="s">
        <v>610</v>
      </c>
      <c r="B20" s="3" t="s">
        <v>64</v>
      </c>
      <c r="C20" s="3" t="s">
        <v>611</v>
      </c>
      <c r="D20" s="3" t="s">
        <v>572</v>
      </c>
      <c r="E20" s="3" t="s">
        <v>612</v>
      </c>
      <c r="F20" s="4" t="s">
        <v>573</v>
      </c>
      <c r="G20" s="3" t="s">
        <v>613</v>
      </c>
    </row>
    <row r="21" customFormat="false" ht="15" hidden="false" customHeight="false" outlineLevel="0" collapsed="false">
      <c r="A21" s="3" t="s">
        <v>614</v>
      </c>
      <c r="B21" s="3" t="s">
        <v>71</v>
      </c>
      <c r="C21" s="3" t="s">
        <v>615</v>
      </c>
      <c r="D21" s="3" t="s">
        <v>548</v>
      </c>
      <c r="E21" s="3" t="s">
        <v>616</v>
      </c>
      <c r="F21" s="4" t="s">
        <v>40</v>
      </c>
      <c r="G21" s="3"/>
    </row>
    <row r="22" customFormat="false" ht="15" hidden="false" customHeight="false" outlineLevel="0" collapsed="false">
      <c r="A22" s="3" t="s">
        <v>617</v>
      </c>
      <c r="B22" s="3" t="s">
        <v>71</v>
      </c>
      <c r="C22" s="3" t="s">
        <v>618</v>
      </c>
      <c r="D22" s="3" t="s">
        <v>603</v>
      </c>
      <c r="E22" s="3" t="s">
        <v>619</v>
      </c>
      <c r="F22" s="4" t="s">
        <v>573</v>
      </c>
      <c r="G22" s="3" t="s">
        <v>620</v>
      </c>
    </row>
    <row r="23" customFormat="false" ht="15" hidden="false" customHeight="false" outlineLevel="0" collapsed="false">
      <c r="A23" s="3" t="s">
        <v>621</v>
      </c>
      <c r="B23" s="3" t="s">
        <v>71</v>
      </c>
      <c r="C23" s="3" t="s">
        <v>622</v>
      </c>
      <c r="D23" s="3" t="s">
        <v>548</v>
      </c>
      <c r="E23" s="3" t="s">
        <v>623</v>
      </c>
      <c r="F23" s="4" t="s">
        <v>40</v>
      </c>
      <c r="G23" s="3" t="s">
        <v>624</v>
      </c>
    </row>
    <row r="24" customFormat="false" ht="15" hidden="false" customHeight="false" outlineLevel="0" collapsed="false">
      <c r="A24" s="3" t="s">
        <v>625</v>
      </c>
      <c r="B24" s="3" t="s">
        <v>76</v>
      </c>
      <c r="C24" s="3" t="s">
        <v>626</v>
      </c>
      <c r="D24" s="3" t="s">
        <v>627</v>
      </c>
      <c r="E24" s="3" t="s">
        <v>628</v>
      </c>
      <c r="F24" s="4" t="s">
        <v>573</v>
      </c>
      <c r="G24" s="3" t="s">
        <v>629</v>
      </c>
    </row>
    <row r="25" customFormat="false" ht="15" hidden="false" customHeight="false" outlineLevel="0" collapsed="false">
      <c r="A25" s="3" t="s">
        <v>630</v>
      </c>
      <c r="B25" s="3" t="s">
        <v>76</v>
      </c>
      <c r="C25" s="3" t="s">
        <v>631</v>
      </c>
      <c r="D25" s="3" t="s">
        <v>627</v>
      </c>
      <c r="E25" s="3" t="s">
        <v>632</v>
      </c>
      <c r="F25" s="4" t="s">
        <v>573</v>
      </c>
      <c r="G25" s="3" t="s">
        <v>633</v>
      </c>
    </row>
    <row r="26" customFormat="false" ht="15" hidden="false" customHeight="false" outlineLevel="0" collapsed="false">
      <c r="A26" s="3" t="s">
        <v>634</v>
      </c>
      <c r="B26" s="3" t="s">
        <v>76</v>
      </c>
      <c r="C26" s="3" t="s">
        <v>635</v>
      </c>
      <c r="D26" s="3" t="s">
        <v>548</v>
      </c>
      <c r="E26" s="3" t="s">
        <v>636</v>
      </c>
      <c r="F26" s="4" t="s">
        <v>549</v>
      </c>
      <c r="G26" s="3"/>
    </row>
    <row r="27" customFormat="false" ht="15" hidden="false" customHeight="false" outlineLevel="0" collapsed="false">
      <c r="A27" s="3" t="s">
        <v>637</v>
      </c>
      <c r="B27" s="3" t="s">
        <v>76</v>
      </c>
      <c r="C27" s="3" t="s">
        <v>638</v>
      </c>
      <c r="D27" s="3" t="s">
        <v>592</v>
      </c>
      <c r="E27" s="3" t="s">
        <v>639</v>
      </c>
      <c r="F27" s="4" t="s">
        <v>549</v>
      </c>
      <c r="G27" s="3"/>
    </row>
    <row r="28" customFormat="false" ht="15" hidden="false" customHeight="false" outlineLevel="0" collapsed="false">
      <c r="A28" s="3" t="s">
        <v>640</v>
      </c>
      <c r="B28" s="3" t="s">
        <v>76</v>
      </c>
      <c r="C28" s="3" t="s">
        <v>641</v>
      </c>
      <c r="D28" s="3" t="s">
        <v>580</v>
      </c>
      <c r="E28" s="3" t="s">
        <v>642</v>
      </c>
      <c r="F28" s="4" t="s">
        <v>40</v>
      </c>
      <c r="G28" s="3"/>
    </row>
    <row r="29" customFormat="false" ht="15" hidden="false" customHeight="false" outlineLevel="0" collapsed="false">
      <c r="A29" s="3" t="s">
        <v>643</v>
      </c>
      <c r="B29" s="3" t="s">
        <v>82</v>
      </c>
      <c r="C29" s="3" t="s">
        <v>644</v>
      </c>
      <c r="D29" s="3" t="s">
        <v>548</v>
      </c>
      <c r="E29" s="3" t="s">
        <v>389</v>
      </c>
      <c r="F29" s="4" t="s">
        <v>549</v>
      </c>
      <c r="G29" s="3"/>
    </row>
    <row r="30" customFormat="false" ht="15" hidden="false" customHeight="false" outlineLevel="0" collapsed="false">
      <c r="A30" s="3" t="s">
        <v>645</v>
      </c>
      <c r="B30" s="3" t="s">
        <v>82</v>
      </c>
      <c r="C30" s="3" t="s">
        <v>646</v>
      </c>
      <c r="D30" s="3" t="s">
        <v>548</v>
      </c>
      <c r="E30" s="3" t="s">
        <v>647</v>
      </c>
      <c r="F30" s="4" t="s">
        <v>549</v>
      </c>
      <c r="G30" s="3"/>
    </row>
    <row r="31" customFormat="false" ht="15" hidden="false" customHeight="false" outlineLevel="0" collapsed="false">
      <c r="A31" s="3" t="s">
        <v>648</v>
      </c>
      <c r="B31" s="3" t="s">
        <v>89</v>
      </c>
      <c r="C31" s="3" t="s">
        <v>649</v>
      </c>
      <c r="D31" s="3" t="s">
        <v>627</v>
      </c>
      <c r="E31" s="3" t="s">
        <v>650</v>
      </c>
      <c r="F31" s="4" t="s">
        <v>549</v>
      </c>
      <c r="G31" s="3" t="s">
        <v>651</v>
      </c>
    </row>
    <row r="32" customFormat="false" ht="23.85" hidden="false" customHeight="false" outlineLevel="0" collapsed="false">
      <c r="A32" s="3" t="s">
        <v>652</v>
      </c>
      <c r="B32" s="3" t="s">
        <v>94</v>
      </c>
      <c r="C32" s="3" t="s">
        <v>653</v>
      </c>
      <c r="D32" s="3" t="s">
        <v>580</v>
      </c>
      <c r="E32" s="3" t="s">
        <v>654</v>
      </c>
      <c r="F32" s="4" t="s">
        <v>549</v>
      </c>
      <c r="G32" s="3"/>
    </row>
    <row r="33" customFormat="false" ht="23.85" hidden="false" customHeight="false" outlineLevel="0" collapsed="false">
      <c r="A33" s="3" t="s">
        <v>655</v>
      </c>
      <c r="B33" s="3" t="s">
        <v>94</v>
      </c>
      <c r="C33" s="3" t="s">
        <v>656</v>
      </c>
      <c r="D33" s="3" t="s">
        <v>627</v>
      </c>
      <c r="E33" s="3" t="s">
        <v>657</v>
      </c>
      <c r="F33" s="4" t="s">
        <v>573</v>
      </c>
      <c r="G33" s="3" t="s">
        <v>658</v>
      </c>
    </row>
    <row r="34" customFormat="false" ht="15" hidden="false" customHeight="false" outlineLevel="0" collapsed="false">
      <c r="A34" s="3" t="s">
        <v>659</v>
      </c>
      <c r="B34" s="3" t="s">
        <v>94</v>
      </c>
      <c r="C34" s="3" t="s">
        <v>660</v>
      </c>
      <c r="D34" s="3" t="s">
        <v>560</v>
      </c>
      <c r="E34" s="3" t="s">
        <v>661</v>
      </c>
      <c r="F34" s="4" t="s">
        <v>40</v>
      </c>
      <c r="G34" s="3"/>
    </row>
    <row r="35" customFormat="false" ht="15" hidden="false" customHeight="false" outlineLevel="0" collapsed="false">
      <c r="A35" s="3" t="s">
        <v>662</v>
      </c>
      <c r="B35" s="3" t="s">
        <v>94</v>
      </c>
      <c r="C35" s="3" t="s">
        <v>663</v>
      </c>
      <c r="D35" s="3" t="s">
        <v>552</v>
      </c>
      <c r="E35" s="3" t="s">
        <v>664</v>
      </c>
      <c r="F35" s="4" t="s">
        <v>40</v>
      </c>
      <c r="G35" s="3"/>
    </row>
    <row r="36" customFormat="false" ht="15" hidden="false" customHeight="false" outlineLevel="0" collapsed="false">
      <c r="A36" s="3" t="s">
        <v>665</v>
      </c>
      <c r="B36" s="3" t="s">
        <v>98</v>
      </c>
      <c r="C36" s="3" t="s">
        <v>666</v>
      </c>
      <c r="D36" s="3" t="s">
        <v>560</v>
      </c>
      <c r="E36" s="3" t="s">
        <v>411</v>
      </c>
      <c r="F36" s="4" t="s">
        <v>40</v>
      </c>
      <c r="G36" s="3"/>
    </row>
    <row r="37" customFormat="false" ht="15" hidden="false" customHeight="false" outlineLevel="0" collapsed="false">
      <c r="A37" s="3" t="s">
        <v>667</v>
      </c>
      <c r="B37" s="3" t="s">
        <v>98</v>
      </c>
      <c r="C37" s="3" t="s">
        <v>668</v>
      </c>
      <c r="D37" s="3" t="s">
        <v>560</v>
      </c>
      <c r="E37" s="3" t="s">
        <v>421</v>
      </c>
      <c r="F37" s="4" t="s">
        <v>40</v>
      </c>
      <c r="G37" s="3"/>
    </row>
    <row r="38" customFormat="false" ht="15" hidden="false" customHeight="false" outlineLevel="0" collapsed="false">
      <c r="A38" s="3" t="s">
        <v>669</v>
      </c>
      <c r="B38" s="3" t="s">
        <v>98</v>
      </c>
      <c r="C38" s="3" t="s">
        <v>670</v>
      </c>
      <c r="D38" s="3" t="s">
        <v>552</v>
      </c>
      <c r="E38" s="3" t="s">
        <v>351</v>
      </c>
      <c r="F38" s="4" t="s">
        <v>40</v>
      </c>
      <c r="G38" s="3"/>
    </row>
    <row r="39" customFormat="false" ht="15" hidden="false" customHeight="false" outlineLevel="0" collapsed="false">
      <c r="A39" s="3" t="s">
        <v>671</v>
      </c>
      <c r="B39" s="3" t="s">
        <v>98</v>
      </c>
      <c r="C39" s="3" t="s">
        <v>672</v>
      </c>
      <c r="D39" s="3" t="s">
        <v>592</v>
      </c>
      <c r="E39" s="3" t="s">
        <v>439</v>
      </c>
      <c r="F39" s="4" t="s">
        <v>40</v>
      </c>
      <c r="G39" s="3"/>
    </row>
    <row r="40" customFormat="false" ht="15" hidden="false" customHeight="false" outlineLevel="0" collapsed="false">
      <c r="A40" s="3" t="s">
        <v>673</v>
      </c>
      <c r="B40" s="3" t="s">
        <v>104</v>
      </c>
      <c r="C40" s="3" t="s">
        <v>674</v>
      </c>
      <c r="D40" s="3" t="s">
        <v>560</v>
      </c>
      <c r="E40" s="3" t="s">
        <v>675</v>
      </c>
      <c r="F40" s="4" t="s">
        <v>40</v>
      </c>
      <c r="G40" s="3"/>
    </row>
    <row r="41" customFormat="false" ht="15" hidden="false" customHeight="false" outlineLevel="0" collapsed="false">
      <c r="A41" s="3" t="s">
        <v>676</v>
      </c>
      <c r="B41" s="3" t="s">
        <v>104</v>
      </c>
      <c r="C41" s="3" t="s">
        <v>677</v>
      </c>
      <c r="D41" s="3" t="s">
        <v>548</v>
      </c>
      <c r="E41" s="3" t="s">
        <v>678</v>
      </c>
      <c r="F41" s="4" t="s">
        <v>40</v>
      </c>
      <c r="G41" s="3"/>
    </row>
    <row r="42" customFormat="false" ht="15" hidden="false" customHeight="false" outlineLevel="0" collapsed="false">
      <c r="A42" s="3" t="s">
        <v>679</v>
      </c>
      <c r="B42" s="3" t="s">
        <v>104</v>
      </c>
      <c r="C42" s="3" t="s">
        <v>680</v>
      </c>
      <c r="D42" s="3" t="s">
        <v>552</v>
      </c>
      <c r="E42" s="3" t="s">
        <v>456</v>
      </c>
      <c r="F42" s="4" t="s">
        <v>40</v>
      </c>
      <c r="G42" s="3"/>
    </row>
  </sheetData>
  <dataValidations count="1">
    <dataValidation allowBlank="true" errorStyle="stop" operator="between" showDropDown="false" showErrorMessage="false" showInputMessage="false" sqref="F2:F141" type="list">
      <formula1>"Yes,Partial,No,Not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24"/>
  </cols>
  <sheetData>
    <row r="1" customFormat="false" ht="23.85" hidden="false" customHeight="false" outlineLevel="0" collapsed="false">
      <c r="A1" s="7" t="s">
        <v>543</v>
      </c>
      <c r="B1" s="7" t="s">
        <v>681</v>
      </c>
      <c r="C1" s="7" t="s">
        <v>117</v>
      </c>
      <c r="D1" s="7" t="s">
        <v>123</v>
      </c>
      <c r="E1" s="7" t="s">
        <v>682</v>
      </c>
      <c r="F1" s="7" t="s">
        <v>683</v>
      </c>
    </row>
    <row r="2" customFormat="false" ht="23.85" hidden="false" customHeight="false" outlineLevel="0" collapsed="false">
      <c r="A2" s="3" t="s">
        <v>603</v>
      </c>
      <c r="B2" s="3" t="s">
        <v>684</v>
      </c>
      <c r="C2" s="3" t="s">
        <v>51</v>
      </c>
      <c r="D2" s="3" t="s">
        <v>685</v>
      </c>
      <c r="E2" s="3" t="s">
        <v>686</v>
      </c>
      <c r="F2" s="4" t="s">
        <v>603</v>
      </c>
    </row>
    <row r="3" customFormat="false" ht="23.85" hidden="false" customHeight="false" outlineLevel="0" collapsed="false">
      <c r="A3" s="3" t="s">
        <v>603</v>
      </c>
      <c r="B3" s="3" t="s">
        <v>687</v>
      </c>
      <c r="C3" s="3" t="s">
        <v>64</v>
      </c>
      <c r="D3" s="3" t="s">
        <v>688</v>
      </c>
      <c r="E3" s="3" t="s">
        <v>689</v>
      </c>
      <c r="F3" s="4" t="s">
        <v>603</v>
      </c>
    </row>
    <row r="4" customFormat="false" ht="15" hidden="false" customHeight="false" outlineLevel="0" collapsed="false">
      <c r="A4" s="3" t="s">
        <v>603</v>
      </c>
      <c r="B4" s="3" t="s">
        <v>690</v>
      </c>
      <c r="C4" s="3" t="s">
        <v>43</v>
      </c>
      <c r="D4" s="3" t="s">
        <v>153</v>
      </c>
      <c r="E4" s="3" t="s">
        <v>691</v>
      </c>
      <c r="F4" s="4" t="s">
        <v>603</v>
      </c>
    </row>
    <row r="5" customFormat="false" ht="15" hidden="false" customHeight="false" outlineLevel="0" collapsed="false">
      <c r="A5" s="3" t="s">
        <v>603</v>
      </c>
      <c r="B5" s="3" t="s">
        <v>692</v>
      </c>
      <c r="C5" s="3" t="s">
        <v>76</v>
      </c>
      <c r="D5" s="3" t="s">
        <v>693</v>
      </c>
      <c r="E5" s="3" t="s">
        <v>694</v>
      </c>
      <c r="F5" s="4" t="s">
        <v>603</v>
      </c>
    </row>
    <row r="6" customFormat="false" ht="23.85" hidden="false" customHeight="false" outlineLevel="0" collapsed="false">
      <c r="A6" s="3" t="s">
        <v>695</v>
      </c>
      <c r="B6" s="3" t="s">
        <v>696</v>
      </c>
      <c r="C6" s="3" t="s">
        <v>697</v>
      </c>
      <c r="D6" s="3" t="s">
        <v>698</v>
      </c>
      <c r="E6" s="3" t="s">
        <v>699</v>
      </c>
      <c r="F6" s="4" t="s">
        <v>700</v>
      </c>
    </row>
    <row r="7" customFormat="false" ht="15" hidden="false" customHeight="false" outlineLevel="0" collapsed="false">
      <c r="A7" s="3" t="s">
        <v>695</v>
      </c>
      <c r="B7" s="3" t="s">
        <v>701</v>
      </c>
      <c r="C7" s="3" t="s">
        <v>98</v>
      </c>
      <c r="D7" s="3" t="s">
        <v>702</v>
      </c>
      <c r="E7" s="3" t="s">
        <v>703</v>
      </c>
      <c r="F7" s="4" t="s">
        <v>700</v>
      </c>
    </row>
    <row r="8" customFormat="false" ht="15" hidden="false" customHeight="false" outlineLevel="0" collapsed="false">
      <c r="A8" s="3" t="s">
        <v>695</v>
      </c>
      <c r="B8" s="3" t="s">
        <v>704</v>
      </c>
      <c r="C8" s="3" t="s">
        <v>104</v>
      </c>
      <c r="D8" s="3" t="s">
        <v>705</v>
      </c>
      <c r="E8" s="3" t="s">
        <v>706</v>
      </c>
      <c r="F8" s="4" t="s">
        <v>700</v>
      </c>
    </row>
    <row r="9" customFormat="false" ht="15" hidden="false" customHeight="false" outlineLevel="0" collapsed="false">
      <c r="A9" s="3" t="s">
        <v>695</v>
      </c>
      <c r="B9" s="3" t="s">
        <v>707</v>
      </c>
      <c r="C9" s="3" t="s">
        <v>104</v>
      </c>
      <c r="D9" s="3" t="s">
        <v>708</v>
      </c>
      <c r="E9" s="3" t="s">
        <v>709</v>
      </c>
      <c r="F9" s="4" t="s">
        <v>603</v>
      </c>
    </row>
    <row r="10" customFormat="false" ht="15" hidden="false" customHeight="false" outlineLevel="0" collapsed="false">
      <c r="A10" s="3" t="s">
        <v>710</v>
      </c>
      <c r="B10" s="3" t="s">
        <v>711</v>
      </c>
      <c r="C10" s="3" t="s">
        <v>104</v>
      </c>
      <c r="D10" s="3" t="s">
        <v>712</v>
      </c>
      <c r="E10" s="3" t="s">
        <v>713</v>
      </c>
      <c r="F10" s="4" t="s">
        <v>710</v>
      </c>
    </row>
    <row r="11" customFormat="false" ht="15" hidden="false" customHeight="false" outlineLevel="0" collapsed="false">
      <c r="A11" s="3" t="s">
        <v>710</v>
      </c>
      <c r="B11" s="3" t="s">
        <v>714</v>
      </c>
      <c r="C11" s="3" t="s">
        <v>98</v>
      </c>
      <c r="D11" s="3" t="s">
        <v>715</v>
      </c>
      <c r="E11" s="3" t="s">
        <v>716</v>
      </c>
      <c r="F11" s="4" t="s">
        <v>717</v>
      </c>
    </row>
    <row r="12" customFormat="false" ht="15" hidden="false" customHeight="false" outlineLevel="0" collapsed="false">
      <c r="A12" s="3" t="s">
        <v>710</v>
      </c>
      <c r="B12" s="3" t="s">
        <v>718</v>
      </c>
      <c r="C12" s="3" t="s">
        <v>719</v>
      </c>
      <c r="D12" s="3" t="s">
        <v>720</v>
      </c>
      <c r="E12" s="3" t="s">
        <v>721</v>
      </c>
      <c r="F12" s="4" t="s">
        <v>710</v>
      </c>
    </row>
    <row r="13" customFormat="false" ht="15" hidden="false" customHeight="false" outlineLevel="0" collapsed="false">
      <c r="A13" s="3" t="s">
        <v>710</v>
      </c>
      <c r="B13" s="3" t="s">
        <v>722</v>
      </c>
      <c r="C13" s="3" t="s">
        <v>64</v>
      </c>
      <c r="D13" s="3" t="s">
        <v>265</v>
      </c>
      <c r="E13" s="3" t="s">
        <v>723</v>
      </c>
      <c r="F13" s="4" t="s">
        <v>710</v>
      </c>
    </row>
    <row r="14" customFormat="false" ht="15" hidden="false" customHeight="false" outlineLevel="0" collapsed="false">
      <c r="A14" s="3" t="s">
        <v>724</v>
      </c>
      <c r="B14" s="3" t="s">
        <v>725</v>
      </c>
      <c r="C14" s="3" t="s">
        <v>76</v>
      </c>
      <c r="D14" s="3" t="s">
        <v>302</v>
      </c>
      <c r="E14" s="3" t="s">
        <v>726</v>
      </c>
      <c r="F14" s="4" t="s">
        <v>717</v>
      </c>
    </row>
    <row r="15" customFormat="false" ht="15" hidden="false" customHeight="false" outlineLevel="0" collapsed="false">
      <c r="A15" s="3" t="s">
        <v>724</v>
      </c>
      <c r="B15" s="3" t="s">
        <v>727</v>
      </c>
      <c r="C15" s="3" t="s">
        <v>51</v>
      </c>
      <c r="D15" s="3" t="s">
        <v>221</v>
      </c>
      <c r="E15" s="3" t="s">
        <v>728</v>
      </c>
      <c r="F15" s="4" t="s">
        <v>717</v>
      </c>
    </row>
    <row r="16" customFormat="false" ht="15" hidden="false" customHeight="false" outlineLevel="0" collapsed="false">
      <c r="A16" s="3" t="s">
        <v>724</v>
      </c>
      <c r="B16" s="3" t="s">
        <v>729</v>
      </c>
      <c r="C16" s="3" t="s">
        <v>94</v>
      </c>
      <c r="D16" s="3" t="s">
        <v>730</v>
      </c>
      <c r="E16" s="3" t="s">
        <v>731</v>
      </c>
      <c r="F16" s="4" t="s">
        <v>717</v>
      </c>
    </row>
    <row r="17" customFormat="false" ht="15" hidden="false" customHeight="false" outlineLevel="0" collapsed="false">
      <c r="A17" s="3" t="s">
        <v>724</v>
      </c>
      <c r="B17" s="3" t="s">
        <v>732</v>
      </c>
      <c r="C17" s="3" t="s">
        <v>76</v>
      </c>
      <c r="D17" s="3" t="s">
        <v>639</v>
      </c>
      <c r="E17" s="3" t="s">
        <v>733</v>
      </c>
      <c r="F17" s="4" t="s">
        <v>717</v>
      </c>
    </row>
    <row r="18" customFormat="false" ht="15" hidden="false" customHeight="false" outlineLevel="0" collapsed="false">
      <c r="A18" s="3" t="s">
        <v>552</v>
      </c>
      <c r="B18" s="3" t="s">
        <v>734</v>
      </c>
      <c r="C18" s="3" t="s">
        <v>43</v>
      </c>
      <c r="D18" s="3" t="s">
        <v>735</v>
      </c>
      <c r="E18" s="3" t="s">
        <v>736</v>
      </c>
      <c r="F18" s="4" t="s">
        <v>700</v>
      </c>
    </row>
    <row r="19" customFormat="false" ht="15" hidden="false" customHeight="false" outlineLevel="0" collapsed="false">
      <c r="A19" s="3" t="s">
        <v>552</v>
      </c>
      <c r="B19" s="3" t="s">
        <v>737</v>
      </c>
      <c r="C19" s="3" t="s">
        <v>71</v>
      </c>
      <c r="D19" s="3" t="s">
        <v>738</v>
      </c>
      <c r="E19" s="3" t="s">
        <v>739</v>
      </c>
      <c r="F19" s="4" t="s">
        <v>700</v>
      </c>
    </row>
    <row r="20" customFormat="false" ht="23.85" hidden="false" customHeight="false" outlineLevel="0" collapsed="false">
      <c r="A20" s="3" t="s">
        <v>552</v>
      </c>
      <c r="B20" s="3" t="s">
        <v>740</v>
      </c>
      <c r="C20" s="3" t="s">
        <v>741</v>
      </c>
      <c r="D20" s="3" t="s">
        <v>742</v>
      </c>
      <c r="E20" s="3" t="s">
        <v>743</v>
      </c>
      <c r="F20" s="4" t="s">
        <v>700</v>
      </c>
    </row>
    <row r="21" customFormat="false" ht="23.85" hidden="false" customHeight="false" outlineLevel="0" collapsed="false">
      <c r="A21" s="3" t="s">
        <v>744</v>
      </c>
      <c r="B21" s="3" t="s">
        <v>745</v>
      </c>
      <c r="C21" s="3" t="s">
        <v>110</v>
      </c>
      <c r="D21" s="3" t="s">
        <v>746</v>
      </c>
      <c r="E21" s="3" t="s">
        <v>747</v>
      </c>
      <c r="F21" s="4" t="s">
        <v>700</v>
      </c>
    </row>
    <row r="22" customFormat="false" ht="15" hidden="false" customHeight="false" outlineLevel="0" collapsed="false">
      <c r="A22" s="3" t="s">
        <v>572</v>
      </c>
      <c r="B22" s="3" t="s">
        <v>748</v>
      </c>
      <c r="C22" s="3" t="s">
        <v>82</v>
      </c>
      <c r="D22" s="3" t="s">
        <v>749</v>
      </c>
      <c r="E22" s="3" t="s">
        <v>750</v>
      </c>
      <c r="F22" s="4" t="s">
        <v>572</v>
      </c>
    </row>
    <row r="23" customFormat="false" ht="15" hidden="false" customHeight="false" outlineLevel="0" collapsed="false">
      <c r="A23" s="3" t="s">
        <v>572</v>
      </c>
      <c r="B23" s="3" t="s">
        <v>751</v>
      </c>
      <c r="C23" s="3" t="s">
        <v>752</v>
      </c>
      <c r="D23" s="3" t="s">
        <v>753</v>
      </c>
      <c r="E23" s="3" t="s">
        <v>721</v>
      </c>
      <c r="F23" s="4" t="s">
        <v>572</v>
      </c>
    </row>
    <row r="24" customFormat="false" ht="15" hidden="false" customHeight="false" outlineLevel="0" collapsed="false">
      <c r="A24" s="3" t="s">
        <v>548</v>
      </c>
      <c r="B24" s="3" t="s">
        <v>754</v>
      </c>
      <c r="C24" s="3" t="s">
        <v>51</v>
      </c>
      <c r="D24" s="3" t="s">
        <v>153</v>
      </c>
      <c r="E24" s="3" t="s">
        <v>755</v>
      </c>
      <c r="F24" s="4" t="s">
        <v>548</v>
      </c>
    </row>
    <row r="25" customFormat="false" ht="15" hidden="false" customHeight="false" outlineLevel="0" collapsed="false">
      <c r="A25" s="3" t="s">
        <v>548</v>
      </c>
      <c r="B25" s="3" t="s">
        <v>756</v>
      </c>
      <c r="C25" s="3" t="s">
        <v>98</v>
      </c>
      <c r="D25" s="3" t="s">
        <v>712</v>
      </c>
      <c r="E25" s="3" t="s">
        <v>757</v>
      </c>
      <c r="F25" s="4" t="s">
        <v>548</v>
      </c>
    </row>
    <row r="26" customFormat="false" ht="15" hidden="false" customHeight="false" outlineLevel="0" collapsed="false">
      <c r="A26" s="3" t="s">
        <v>548</v>
      </c>
      <c r="B26" s="3" t="s">
        <v>758</v>
      </c>
      <c r="C26" s="3" t="s">
        <v>35</v>
      </c>
      <c r="D26" s="3" t="s">
        <v>564</v>
      </c>
      <c r="E26" s="3" t="s">
        <v>759</v>
      </c>
      <c r="F26" s="4" t="s">
        <v>548</v>
      </c>
    </row>
    <row r="27" customFormat="false" ht="15" hidden="false" customHeight="false" outlineLevel="0" collapsed="false">
      <c r="A27" s="3" t="s">
        <v>548</v>
      </c>
      <c r="B27" s="3" t="s">
        <v>760</v>
      </c>
      <c r="C27" s="3" t="s">
        <v>71</v>
      </c>
      <c r="D27" s="3" t="s">
        <v>294</v>
      </c>
      <c r="E27" s="3" t="s">
        <v>759</v>
      </c>
      <c r="F27" s="4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23.85" hidden="false" customHeight="false" outlineLevel="0" collapsed="false">
      <c r="A1" s="7" t="s">
        <v>761</v>
      </c>
      <c r="B1" s="7" t="s">
        <v>762</v>
      </c>
      <c r="C1" s="7" t="s">
        <v>572</v>
      </c>
      <c r="D1" s="7" t="s">
        <v>763</v>
      </c>
      <c r="E1" s="7" t="s">
        <v>764</v>
      </c>
      <c r="F1" s="7" t="s">
        <v>765</v>
      </c>
      <c r="G1" s="7" t="s">
        <v>766</v>
      </c>
    </row>
    <row r="2" customFormat="false" ht="15" hidden="false" customHeight="false" outlineLevel="0" collapsed="false">
      <c r="A2" s="3" t="s">
        <v>767</v>
      </c>
      <c r="B2" s="3" t="s">
        <v>768</v>
      </c>
      <c r="C2" s="3" t="s">
        <v>40</v>
      </c>
      <c r="D2" s="3" t="s">
        <v>40</v>
      </c>
      <c r="E2" s="3" t="s">
        <v>40</v>
      </c>
      <c r="F2" s="3" t="s">
        <v>769</v>
      </c>
      <c r="G2" s="3" t="n">
        <f aca="false">COUNTIF(C2:F2,"Yes")</f>
        <v>1</v>
      </c>
    </row>
    <row r="3" customFormat="false" ht="15" hidden="false" customHeight="false" outlineLevel="0" collapsed="false">
      <c r="A3" s="3" t="s">
        <v>770</v>
      </c>
      <c r="B3" s="3" t="s">
        <v>771</v>
      </c>
      <c r="C3" s="3" t="s">
        <v>769</v>
      </c>
      <c r="D3" s="3" t="s">
        <v>769</v>
      </c>
      <c r="E3" s="3" t="s">
        <v>769</v>
      </c>
      <c r="F3" s="3" t="s">
        <v>769</v>
      </c>
      <c r="G3" s="3" t="n">
        <f aca="false">COUNTIF(C3:F3,"Yes")</f>
        <v>4</v>
      </c>
    </row>
    <row r="4" customFormat="false" ht="15" hidden="false" customHeight="false" outlineLevel="0" collapsed="false">
      <c r="A4" s="3" t="s">
        <v>772</v>
      </c>
      <c r="B4" s="3" t="s">
        <v>773</v>
      </c>
      <c r="C4" s="3" t="s">
        <v>40</v>
      </c>
      <c r="D4" s="3" t="s">
        <v>769</v>
      </c>
      <c r="E4" s="3" t="s">
        <v>40</v>
      </c>
      <c r="F4" s="3" t="s">
        <v>769</v>
      </c>
      <c r="G4" s="3" t="n">
        <f aca="false">COUNTIF(C4:F4,"Yes")</f>
        <v>2</v>
      </c>
    </row>
    <row r="5" customFormat="false" ht="15" hidden="false" customHeight="false" outlineLevel="0" collapsed="false">
      <c r="A5" s="3" t="s">
        <v>774</v>
      </c>
      <c r="B5" s="3" t="s">
        <v>775</v>
      </c>
      <c r="C5" s="3" t="s">
        <v>40</v>
      </c>
      <c r="D5" s="3" t="s">
        <v>769</v>
      </c>
      <c r="E5" s="3" t="s">
        <v>40</v>
      </c>
      <c r="F5" s="3" t="s">
        <v>769</v>
      </c>
      <c r="G5" s="3" t="n">
        <f aca="false">COUNTIF(C5:F5,"Yes")</f>
        <v>2</v>
      </c>
    </row>
    <row r="6" customFormat="false" ht="15" hidden="false" customHeight="false" outlineLevel="0" collapsed="false">
      <c r="A6" s="3" t="s">
        <v>776</v>
      </c>
      <c r="B6" s="3" t="s">
        <v>777</v>
      </c>
      <c r="C6" s="3" t="s">
        <v>769</v>
      </c>
      <c r="D6" s="3" t="s">
        <v>40</v>
      </c>
      <c r="E6" s="3" t="s">
        <v>769</v>
      </c>
      <c r="F6" s="3" t="s">
        <v>40</v>
      </c>
      <c r="G6" s="3" t="n">
        <f aca="false">COUNTIF(C6:F6,"Yes")</f>
        <v>2</v>
      </c>
    </row>
    <row r="8" customFormat="false" ht="15" hidden="false" customHeight="false" outlineLevel="0" collapsed="false">
      <c r="A8" s="5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4" min="3" style="0" width="60"/>
    <col collapsed="false" customWidth="true" hidden="false" outlineLevel="0" max="5" min="5" style="0" width="5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7" t="s">
        <v>116</v>
      </c>
      <c r="B1" s="7" t="s">
        <v>779</v>
      </c>
      <c r="C1" s="7" t="s">
        <v>780</v>
      </c>
      <c r="D1" s="7" t="s">
        <v>781</v>
      </c>
      <c r="E1" s="7" t="s">
        <v>782</v>
      </c>
      <c r="F1" s="7" t="s">
        <v>783</v>
      </c>
      <c r="G1" s="7" t="s">
        <v>784</v>
      </c>
    </row>
    <row r="2" customFormat="false" ht="35.05" hidden="false" customHeight="false" outlineLevel="0" collapsed="false">
      <c r="A2" s="3" t="s">
        <v>785</v>
      </c>
      <c r="B2" s="3" t="s">
        <v>786</v>
      </c>
      <c r="C2" s="3" t="s">
        <v>787</v>
      </c>
      <c r="D2" s="3" t="s">
        <v>788</v>
      </c>
      <c r="E2" s="3" t="s">
        <v>789</v>
      </c>
      <c r="F2" s="3" t="s">
        <v>790</v>
      </c>
      <c r="G2" s="3"/>
    </row>
    <row r="3" customFormat="false" ht="23.85" hidden="false" customHeight="false" outlineLevel="0" collapsed="false">
      <c r="A3" s="3" t="s">
        <v>791</v>
      </c>
      <c r="B3" s="3" t="s">
        <v>792</v>
      </c>
      <c r="C3" s="3" t="s">
        <v>793</v>
      </c>
      <c r="D3" s="3" t="s">
        <v>794</v>
      </c>
      <c r="E3" s="3" t="s">
        <v>795</v>
      </c>
      <c r="F3" s="3" t="s">
        <v>790</v>
      </c>
      <c r="G3" s="3"/>
    </row>
    <row r="4" customFormat="false" ht="35.05" hidden="false" customHeight="false" outlineLevel="0" collapsed="false">
      <c r="A4" s="3" t="s">
        <v>796</v>
      </c>
      <c r="B4" s="3" t="s">
        <v>797</v>
      </c>
      <c r="C4" s="3" t="s">
        <v>798</v>
      </c>
      <c r="D4" s="3" t="s">
        <v>799</v>
      </c>
      <c r="E4" s="3" t="s">
        <v>800</v>
      </c>
      <c r="F4" s="3" t="s">
        <v>790</v>
      </c>
      <c r="G4" s="3"/>
    </row>
    <row r="6" customFormat="false" ht="15" hidden="false" customHeight="false" outlineLevel="0" collapsed="false">
      <c r="A6" s="5" t="s">
        <v>801</v>
      </c>
    </row>
  </sheetData>
  <dataValidations count="1">
    <dataValidation allowBlank="true" errorStyle="stop" operator="between" showDropDown="false" showErrorMessage="false" showInputMessage="false" sqref="F2:F200" type="list">
      <formula1>"Not started,In progress,Done,Dropped"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2026-10-07T19:05:35Z</dcterms:created>
  <dc:creator>openpyxl</dc:creator>
  <dc:description/>
  <dc:language>en-US</dc:language>
  <cp:lastModifiedBy/>
  <dcterms:modified xsi:type="dcterms:W3CDTF">2026-10-07T19:05:35Z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